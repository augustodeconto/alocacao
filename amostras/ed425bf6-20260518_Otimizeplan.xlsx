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fiesc.sharepoint.com/sites/pwa/OTIMIZEPLAN/Documentos Compartilhados/4. Execução/4.12 Recursos Humanos/"/>
    </mc:Choice>
  </mc:AlternateContent>
  <xr:revisionPtr revIDLastSave="116" documentId="8_{5BB6D31D-871F-451E-AE6B-99AD9401DD0F}" xr6:coauthVersionLast="47" xr6:coauthVersionMax="47" xr10:uidLastSave="{D8C4DF6E-07E6-4BFF-B111-337D127267E6}"/>
  <bookViews>
    <workbookView xWindow="-120" yWindow="-120" windowWidth="20730" windowHeight="11040" activeTab="1" xr2:uid="{00000000-000D-0000-FFFF-FFFF00000000}"/>
  </bookViews>
  <sheets>
    <sheet name="dados_projeto" sheetId="3" r:id="rId1"/>
    <sheet name="Novos_Pesquisadores" sheetId="1" r:id="rId2"/>
    <sheet name="Alocacao" sheetId="2" r:id="rId3"/>
    <sheet name="Planilha4" sheetId="4" r:id="rId4"/>
  </sheets>
  <definedNames>
    <definedName name="_xlnm._FilterDatabase" localSheetId="2" hidden="1">Alocacao!$A$1:$N$59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" i="1"/>
  <c r="E2" i="1"/>
  <c r="I3" i="1"/>
  <c r="I4" i="1"/>
  <c r="F2" i="2"/>
  <c r="C18" i="2"/>
  <c r="C15" i="2"/>
  <c r="C5" i="2"/>
  <c r="C6" i="2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C59" i="2" l="1"/>
  <c r="C2" i="2"/>
  <c r="C9" i="2"/>
  <c r="C10" i="2"/>
  <c r="C12" i="2"/>
  <c r="C13" i="2"/>
  <c r="C3" i="2"/>
  <c r="C20" i="2"/>
  <c r="C7" i="2"/>
  <c r="C16" i="2"/>
  <c r="C17" i="2"/>
  <c r="C19" i="2"/>
  <c r="C11" i="2"/>
  <c r="C4" i="2"/>
  <c r="C8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14" i="2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G35" i="1" l="1"/>
  <c r="G36" i="1"/>
  <c r="G37" i="1"/>
  <c r="G38" i="1"/>
  <c r="G39" i="1"/>
  <c r="G4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Simão</author>
  </authors>
  <commentList>
    <comment ref="A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Renato Simão:</t>
        </r>
        <r>
          <rPr>
            <sz val="9"/>
            <color indexed="81"/>
            <rFont val="Segoe UI"/>
            <family val="2"/>
          </rPr>
          <t xml:space="preserve">
Se não houver ID, inserir Id provisório
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Renato Simão:</t>
        </r>
        <r>
          <rPr>
            <sz val="9"/>
            <color indexed="81"/>
            <rFont val="Segoe UI"/>
            <family val="2"/>
          </rPr>
          <t xml:space="preserve">
Preencher como está no BI. 
</t>
        </r>
      </text>
    </comment>
    <comment ref="F2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Renato Simão:</t>
        </r>
        <r>
          <rPr>
            <sz val="9"/>
            <color indexed="81"/>
            <rFont val="Segoe UI"/>
            <family val="2"/>
          </rPr>
          <t xml:space="preserve">
Deixar em branco se não houver GP
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Renato Simão:</t>
        </r>
        <r>
          <rPr>
            <sz val="9"/>
            <color indexed="81"/>
            <rFont val="Segoe UI"/>
            <family val="2"/>
          </rPr>
          <t xml:space="preserve">
Número do mês
</t>
        </r>
      </text>
    </comment>
    <comment ref="J2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Renato Simão:</t>
        </r>
        <r>
          <rPr>
            <sz val="9"/>
            <color indexed="81"/>
            <rFont val="Segoe UI"/>
            <family val="2"/>
          </rPr>
          <t xml:space="preserve">
0 ou 1</t>
        </r>
      </text>
    </comment>
    <comment ref="K2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Renato Simão:</t>
        </r>
        <r>
          <rPr>
            <sz val="9"/>
            <color indexed="81"/>
            <rFont val="Segoe UI"/>
            <family val="2"/>
          </rPr>
          <t xml:space="preserve">
0 ou 1</t>
        </r>
      </text>
    </comment>
    <comment ref="L2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Renato Simão:</t>
        </r>
        <r>
          <rPr>
            <sz val="9"/>
            <color indexed="81"/>
            <rFont val="Segoe UI"/>
            <family val="2"/>
          </rPr>
          <t xml:space="preserve">
0 ou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tc={2BDC9854-5BA5-44B8-B47B-194ACED4AC38}</author>
    <author>tc={ADC16CA4-CAE5-4ABB-BC38-F1864398E5AF}</author>
    <author>tc={4E1D1775-E4BF-4D0B-AFF6-90D250C02922}</author>
  </authors>
  <commentList>
    <comment ref="D17" authorId="0" shapeId="0" xr:uid="{00000000-0006-0000-02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50% pesquisador</t>
      </text>
    </comment>
    <comment ref="D18" authorId="1" shapeId="0" xr:uid="{ADC16CA4-CAE5-4ABB-BC38-F1864398E5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50% pesquisador</t>
      </text>
    </comment>
    <comment ref="D19" authorId="2" shapeId="0" xr:uid="{00000000-0006-0000-0200-00000200000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100% Técnico Serviços Especializados
Responder:
    Dev software
</t>
      </text>
    </comment>
  </commentList>
</comments>
</file>

<file path=xl/sharedStrings.xml><?xml version="1.0" encoding="utf-8"?>
<sst xmlns="http://schemas.openxmlformats.org/spreadsheetml/2006/main" count="169" uniqueCount="127">
  <si>
    <t>Id_projeto</t>
  </si>
  <si>
    <t>NomeProjeto</t>
  </si>
  <si>
    <t>Empresa</t>
  </si>
  <si>
    <t>Status</t>
  </si>
  <si>
    <t>idStatus</t>
  </si>
  <si>
    <t>Matricula_GP</t>
  </si>
  <si>
    <t>ID_Filial</t>
  </si>
  <si>
    <t>Mês Inicio da alocação</t>
  </si>
  <si>
    <t>Ano Inicio da alocação</t>
  </si>
  <si>
    <t>cenario 1</t>
  </si>
  <si>
    <t>cenario 2</t>
  </si>
  <si>
    <t>cenario 3</t>
  </si>
  <si>
    <t>OTIMIZEPLAN</t>
  </si>
  <si>
    <t>PETROBRAS</t>
  </si>
  <si>
    <t>Contratado</t>
  </si>
  <si>
    <t>Matricula</t>
  </si>
  <si>
    <t xml:space="preserve">Nome </t>
  </si>
  <si>
    <t>Ativo</t>
  </si>
  <si>
    <t>Equipe</t>
  </si>
  <si>
    <t>ID_Equipe</t>
  </si>
  <si>
    <t>Area</t>
  </si>
  <si>
    <t>ID_Area</t>
  </si>
  <si>
    <t>Contrato</t>
  </si>
  <si>
    <t>ID_Contrato</t>
  </si>
  <si>
    <t>Iníciocontrato</t>
  </si>
  <si>
    <t>fimcontrato</t>
  </si>
  <si>
    <t>formacao</t>
  </si>
  <si>
    <t>cargahoraria Diária</t>
  </si>
  <si>
    <t>Remuneração</t>
  </si>
  <si>
    <t>InicioVigencia</t>
  </si>
  <si>
    <t>Tipo Alocacao</t>
  </si>
  <si>
    <t>id_tipo</t>
  </si>
  <si>
    <t>Perfil</t>
  </si>
  <si>
    <t>REGIS CARDOSO</t>
  </si>
  <si>
    <t>MARCIO DA SILVA ARANTES</t>
  </si>
  <si>
    <t>MARCELO CANZIAN NUNES</t>
  </si>
  <si>
    <t>PAULO HENRIQUE BENCZIK</t>
  </si>
  <si>
    <t>RAFAEL MONTEIRO VERAS</t>
  </si>
  <si>
    <t>RENATO FERREIRA SIMÃO</t>
  </si>
  <si>
    <t>CESAR TADEU NASSER MEDEIROS BRANCO</t>
  </si>
  <si>
    <t>GABRIEL MEDEIROS LOPES CARNEIRO</t>
  </si>
  <si>
    <t>VINICIUS GOMES DA SILVA</t>
  </si>
  <si>
    <t>GABRIEL RODRIGUES SEGALLA</t>
  </si>
  <si>
    <t>AUGUSTO MARASCA DE CONTO</t>
  </si>
  <si>
    <t>RICK LOPES DE SOUZA</t>
  </si>
  <si>
    <t>TIAGO SEVERO ESTRAZULAS</t>
  </si>
  <si>
    <t>TecnicaEPII</t>
  </si>
  <si>
    <t>TecnicaANP</t>
  </si>
  <si>
    <t>FRANCISCO GLAUBOS NUNES CLIMACO</t>
  </si>
  <si>
    <t>Nome_equipe</t>
  </si>
  <si>
    <t>idEquipe</t>
  </si>
  <si>
    <t>Tipo_contrato</t>
  </si>
  <si>
    <t>idContratos</t>
  </si>
  <si>
    <t>Nome_Area</t>
  </si>
  <si>
    <t>idarea</t>
  </si>
  <si>
    <t>Ensino médio</t>
  </si>
  <si>
    <t>Tipo_alocacao</t>
  </si>
  <si>
    <t>Manufatura</t>
  </si>
  <si>
    <t>Bolsista I</t>
  </si>
  <si>
    <t>PMO</t>
  </si>
  <si>
    <t>Planejado</t>
  </si>
  <si>
    <t>Técnico</t>
  </si>
  <si>
    <t>Técnica</t>
  </si>
  <si>
    <t>Prospecção</t>
  </si>
  <si>
    <t>Laser</t>
  </si>
  <si>
    <t>Bolsista II</t>
  </si>
  <si>
    <t>Automação/Controle</t>
  </si>
  <si>
    <t>Desligado</t>
  </si>
  <si>
    <t>Ensino Superior</t>
  </si>
  <si>
    <t>Econômica</t>
  </si>
  <si>
    <t>Aditivo</t>
  </si>
  <si>
    <t>Latecme</t>
  </si>
  <si>
    <t>Bolsista III</t>
  </si>
  <si>
    <t>Coordenação</t>
  </si>
  <si>
    <t>Especialização</t>
  </si>
  <si>
    <t>Em Contratação</t>
  </si>
  <si>
    <t>Embarcados</t>
  </si>
  <si>
    <t>Bolsista IV</t>
  </si>
  <si>
    <t>Hardware</t>
  </si>
  <si>
    <t>Mestrado</t>
  </si>
  <si>
    <t>OffShore</t>
  </si>
  <si>
    <t>Apoio</t>
  </si>
  <si>
    <t>Bolsista V</t>
  </si>
  <si>
    <t>Software Embarcado</t>
  </si>
  <si>
    <t>Doutorado</t>
  </si>
  <si>
    <t>Em Encerramento</t>
  </si>
  <si>
    <t>Bolsista VI</t>
  </si>
  <si>
    <t>Gestão de projetos</t>
  </si>
  <si>
    <t>Encerrado</t>
  </si>
  <si>
    <t>Vendas</t>
  </si>
  <si>
    <t>Estagiário</t>
  </si>
  <si>
    <t>Gestão unidade</t>
  </si>
  <si>
    <t>Gestão</t>
  </si>
  <si>
    <t>Pesquisador(a) I</t>
  </si>
  <si>
    <t>IA/Otimização</t>
  </si>
  <si>
    <t>Serviços</t>
  </si>
  <si>
    <t>Pesquisador(a) II</t>
  </si>
  <si>
    <t>Mecânica</t>
  </si>
  <si>
    <t>AGP</t>
  </si>
  <si>
    <t>Pesquisador(a) III</t>
  </si>
  <si>
    <t>Sistemas Aeroespaciais</t>
  </si>
  <si>
    <t>GP I</t>
  </si>
  <si>
    <t>Software</t>
  </si>
  <si>
    <t>GP II</t>
  </si>
  <si>
    <t>Coordenaçao</t>
  </si>
  <si>
    <t>Visão computacional</t>
  </si>
  <si>
    <t>Direção</t>
  </si>
  <si>
    <t>Apoio PMO</t>
  </si>
  <si>
    <t>Machine Learning</t>
  </si>
  <si>
    <t>PCP</t>
  </si>
  <si>
    <t>Assessor de Inovação</t>
  </si>
  <si>
    <t>Gerente de Operações</t>
  </si>
  <si>
    <t>Pesquisador Chefe</t>
  </si>
  <si>
    <t>Técnico Serviços Especializados</t>
  </si>
  <si>
    <t>Supervisor de Manutenção</t>
  </si>
  <si>
    <t>Analista de PCP</t>
  </si>
  <si>
    <t>Assistente Administrativo</t>
  </si>
  <si>
    <t>Assessor de Gestão Estratégica</t>
  </si>
  <si>
    <t>Analista de Gestão de Pessoas</t>
  </si>
  <si>
    <t>Analista de Gestão de Projetos I</t>
  </si>
  <si>
    <t>Analista de Gestão de Projetos II</t>
  </si>
  <si>
    <t>Analista de Gestão de Projetos III</t>
  </si>
  <si>
    <t>Analista Administrativo</t>
  </si>
  <si>
    <t>Leticia Becher Yamashita</t>
  </si>
  <si>
    <t>ROGERIO PEREIRA JUNIOR</t>
  </si>
  <si>
    <t>Larissa Vitoria Gatti de Andrade</t>
  </si>
  <si>
    <t xml:space="preserve"> 05/03/2026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</si>
</sst>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10">
    <xf numFmtId="0" fontId="0" fillId="0" borderId="0" xfId="0"/>
    <xf numFmtId="17" fontId="0" fillId="0" borderId="0" xfId="0" applyNumberFormat="1"/>
    <xf numFmtId="14" fontId="0" fillId="0" borderId="0" xfId="0" applyNumberFormat="1"/>
    <xf numFmtId="0" fontId="2" fillId="3" borderId="2" xfId="2"/>
    <xf numFmtId="0" fontId="1" fillId="2" borderId="1" xfId="1"/>
    <xf numFmtId="0" fontId="0" fillId="0" borderId="0" xfId="0" applyAlignment="1">
      <alignment wrapText="1"/>
    </xf>
    <xf numFmtId="0" fontId="1" fillId="2" borderId="1" xfId="1" applyAlignment="1">
      <alignment wrapText="1"/>
    </xf>
    <xf numFmtId="0" fontId="2" fillId="3" borderId="2" xfId="2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/>
  </cellXfs>
  <cellStyles count="3">
    <cellStyle name="Entrada" xfId="1" builtinId="20"/>
    <cellStyle name="Normal" xfId="0" builtinId="0"/>
    <cellStyle name="Saí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GUSTO MARASCA DE CONTO" id="{0A09EE37-3FE7-468F-9C39-6FA67867923C}" userId="S::augusto.conto@sc.senai.br::1fee18d9-16b1-4a24-af86-4e5f1fda82e3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5-01-20T19:32:05.73" personId="{0A09EE37-3FE7-468F-9C39-6FA67867923C}" id="{2BDC9854-5BA5-44B8-B47B-194ACED4AC38}">
    <text>50% pesquisador</text>
  </threadedComment>
  <threadedComment ref="D18" dT="2025-01-20T19:32:05.73" personId="{0A09EE37-3FE7-468F-9C39-6FA67867923C}" id="{ADC16CA4-CAE5-4ABB-BC38-F1864398E5AF}">
    <text>50% pesquisador</text>
  </threadedComment>
  <threadedComment ref="D19" dT="2025-01-20T19:32:21.33" personId="{0A09EE37-3FE7-468F-9C39-6FA67867923C}" id="{4E1D1775-E4BF-4D0B-AFF6-90D250C02922}">
    <text>100% Técnico Serviços Especializados</text>
  </threadedComment>
  <threadedComment ref="D19" dT="2025-01-21T13:45:07.32" personId="{0A09EE37-3FE7-468F-9C39-6FA67867923C}" id="{E4256C80-950A-4F19-9796-B9DE576C2296}" parentId="{4E1D1775-E4BF-4D0B-AFF6-90D250C02922}">
    <text xml:space="preserve">Dev software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workbookViewId="0">
      <selection activeCell="H3" sqref="H3"/>
    </sheetView>
  </sheetViews>
  <sheetFormatPr defaultRowHeight="15" x14ac:dyDescent="0.25"/>
  <cols>
    <col min="1" max="1" width="10.28515625" bestFit="1" customWidth="1"/>
    <col min="2" max="2" width="22" bestFit="1" customWidth="1"/>
    <col min="3" max="3" width="15.28515625" customWidth="1"/>
    <col min="4" max="4" width="14.85546875" style="4" bestFit="1" customWidth="1"/>
    <col min="5" max="5" width="9.140625" style="3"/>
    <col min="6" max="6" width="12.7109375" bestFit="1" customWidth="1"/>
    <col min="8" max="8" width="12" customWidth="1"/>
    <col min="9" max="9" width="11.5703125" customWidth="1"/>
  </cols>
  <sheetData>
    <row r="1" spans="1:12" ht="30" x14ac:dyDescent="0.25">
      <c r="A1" t="s">
        <v>0</v>
      </c>
      <c r="B1" t="s">
        <v>1</v>
      </c>
      <c r="C1" t="s">
        <v>2</v>
      </c>
      <c r="D1" s="4" t="s">
        <v>3</v>
      </c>
      <c r="E1" s="3" t="s">
        <v>4</v>
      </c>
      <c r="F1" t="s">
        <v>5</v>
      </c>
      <c r="G1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16045</v>
      </c>
      <c r="B2" t="s">
        <v>12</v>
      </c>
      <c r="C2" t="s">
        <v>13</v>
      </c>
      <c r="D2" s="4" t="s">
        <v>14</v>
      </c>
      <c r="E2" s="3">
        <v>4</v>
      </c>
      <c r="F2">
        <v>73920</v>
      </c>
      <c r="G2">
        <v>62</v>
      </c>
      <c r="H2">
        <v>5</v>
      </c>
      <c r="I2">
        <v>2026</v>
      </c>
      <c r="J2">
        <v>1</v>
      </c>
      <c r="K2">
        <v>1</v>
      </c>
      <c r="L2">
        <v>1</v>
      </c>
    </row>
    <row r="3" spans="1:12" x14ac:dyDescent="0.25">
      <c r="E3" s="3" t="str">
        <f>IF(ISBLANK(D3),"",VLOOKUP(D3,#REF!,2,FALSE))</f>
        <v/>
      </c>
    </row>
    <row r="4" spans="1:12" x14ac:dyDescent="0.25">
      <c r="E4" s="3" t="str">
        <f>IF(ISBLANK(D4),"",VLOOKUP(D4,#REF!,2,FALSE))</f>
        <v/>
      </c>
    </row>
    <row r="5" spans="1:12" x14ac:dyDescent="0.25">
      <c r="E5" s="3" t="str">
        <f>IF(ISBLANK(D5),"",VLOOKUP(D5,#REF!,2,FALSE))</f>
        <v/>
      </c>
    </row>
    <row r="6" spans="1:12" x14ac:dyDescent="0.25">
      <c r="E6" s="3" t="str">
        <f>IF(ISBLANK(D6),"",VLOOKUP(D6,#REF!,2,FALSE))</f>
        <v/>
      </c>
    </row>
    <row r="7" spans="1:12" x14ac:dyDescent="0.25">
      <c r="E7" s="3" t="str">
        <f>IF(ISBLANK(D7),"",VLOOKUP(D7,#REF!,2,FALSE))</f>
        <v/>
      </c>
    </row>
    <row r="8" spans="1:12" x14ac:dyDescent="0.25">
      <c r="E8" s="3" t="str">
        <f>IF(ISBLANK(D8),"",VLOOKUP(D8,#REF!,2,FALSE))</f>
        <v/>
      </c>
    </row>
    <row r="9" spans="1:12" x14ac:dyDescent="0.25">
      <c r="E9" s="3" t="str">
        <f>IF(ISBLANK(D9),"",VLOOKUP(D9,#REF!,2,FALSE))</f>
        <v/>
      </c>
    </row>
    <row r="10" spans="1:12" x14ac:dyDescent="0.25">
      <c r="E10" s="3" t="str">
        <f>IF(ISBLANK(D10),"",VLOOKUP(D10,#REF!,2,FALSE))</f>
        <v/>
      </c>
    </row>
    <row r="11" spans="1:12" x14ac:dyDescent="0.25">
      <c r="E11" s="3" t="str">
        <f>IF(ISBLANK(D11),"",VLOOKUP(D11,#REF!,2,FALSE))</f>
        <v/>
      </c>
    </row>
    <row r="12" spans="1:12" x14ac:dyDescent="0.25">
      <c r="E12" s="3" t="str">
        <f>IF(ISBLANK(D12),"",VLOOKUP(D12,#REF!,2,FALSE))</f>
        <v/>
      </c>
    </row>
    <row r="13" spans="1:12" x14ac:dyDescent="0.25">
      <c r="E13" s="3" t="str">
        <f>IF(ISBLANK(D13),"",VLOOKUP(D13,#REF!,2,FALSE))</f>
        <v/>
      </c>
    </row>
    <row r="14" spans="1:12" x14ac:dyDescent="0.25">
      <c r="E14" s="3" t="str">
        <f>IF(ISBLANK(D14),"",VLOOKUP(D14,#REF!,2,FALSE))</f>
        <v/>
      </c>
    </row>
    <row r="15" spans="1:12" x14ac:dyDescent="0.25">
      <c r="E15" s="3" t="str">
        <f>IF(ISBLANK(D15),"",VLOOKUP(D15,#REF!,2,FALSE))</f>
        <v/>
      </c>
    </row>
    <row r="16" spans="1:12" x14ac:dyDescent="0.25">
      <c r="E16" s="3" t="str">
        <f>IF(ISBLANK(D16),"",VLOOKUP(D16,#REF!,2,FALSE))</f>
        <v/>
      </c>
    </row>
    <row r="17" spans="5:5" x14ac:dyDescent="0.25">
      <c r="E17" s="3" t="str">
        <f>IF(ISBLANK(D17),"",VLOOKUP(D17,#REF!,2,FALSE))</f>
        <v/>
      </c>
    </row>
    <row r="18" spans="5:5" x14ac:dyDescent="0.25">
      <c r="E18" s="3" t="str">
        <f>IF(ISBLANK(D18),"",VLOOKUP(D18,#REF!,2,FALSE))</f>
        <v/>
      </c>
    </row>
    <row r="19" spans="5:5" x14ac:dyDescent="0.25">
      <c r="E19" s="3" t="str">
        <f>IF(ISBLANK(D19),"",VLOOKUP(D19,#REF!,2,FALSE))</f>
        <v/>
      </c>
    </row>
    <row r="20" spans="5:5" x14ac:dyDescent="0.25">
      <c r="E20" s="3" t="str">
        <f>IF(ISBLANK(D20),"",VLOOKUP(D20,#REF!,2,FALSE))</f>
        <v/>
      </c>
    </row>
    <row r="21" spans="5:5" x14ac:dyDescent="0.25">
      <c r="E21" s="3" t="str">
        <f>IF(ISBLANK(D21),"",VLOOKUP(D21,#REF!,2,FALSE))</f>
        <v/>
      </c>
    </row>
    <row r="22" spans="5:5" x14ac:dyDescent="0.25">
      <c r="E22" s="3" t="str">
        <f>IF(ISBLANK(D22),"",VLOOKUP(D22,#REF!,2,FALSE))</f>
        <v/>
      </c>
    </row>
    <row r="23" spans="5:5" x14ac:dyDescent="0.25">
      <c r="E23" s="3" t="str">
        <f>IF(ISBLANK(D23),"",VLOOKUP(D23,#REF!,2,FALSE))</f>
        <v/>
      </c>
    </row>
    <row r="24" spans="5:5" x14ac:dyDescent="0.25">
      <c r="E24" s="3" t="str">
        <f>IF(ISBLANK(D24),"",VLOOKUP(D24,#REF!,2,FALSE))</f>
        <v/>
      </c>
    </row>
    <row r="25" spans="5:5" x14ac:dyDescent="0.25">
      <c r="E25" s="3" t="str">
        <f>IF(ISBLANK(D25),"",VLOOKUP(D25,#REF!,2,FALSE))</f>
        <v/>
      </c>
    </row>
    <row r="26" spans="5:5" x14ac:dyDescent="0.25">
      <c r="E26" s="3" t="str">
        <f>IF(ISBLANK(D26),"",VLOOKUP(D26,#REF!,2,FALSE))</f>
        <v/>
      </c>
    </row>
    <row r="27" spans="5:5" x14ac:dyDescent="0.25">
      <c r="E27" s="3" t="str">
        <f>IF(ISBLANK(D27),"",VLOOKUP(D27,#REF!,2,FALSE))</f>
        <v/>
      </c>
    </row>
    <row r="28" spans="5:5" x14ac:dyDescent="0.25">
      <c r="E28" s="3" t="str">
        <f>IF(ISBLANK(D28),"",VLOOKUP(D28,#REF!,2,FALSE))</f>
        <v/>
      </c>
    </row>
    <row r="29" spans="5:5" x14ac:dyDescent="0.25">
      <c r="E29" s="3" t="str">
        <f>IF(ISBLANK(D29),"",VLOOKUP(D29,#REF!,2,FALSE))</f>
        <v/>
      </c>
    </row>
    <row r="30" spans="5:5" x14ac:dyDescent="0.25">
      <c r="E30" s="3" t="str">
        <f>IF(ISBLANK(D30),"",VLOOKUP(D30,#REF!,2,FALSE))</f>
        <v/>
      </c>
    </row>
    <row r="31" spans="5:5" x14ac:dyDescent="0.25">
      <c r="E31" s="3" t="str">
        <f>IF(ISBLANK(D31),"",VLOOKUP(D31,#REF!,2,FALSE))</f>
        <v/>
      </c>
    </row>
    <row r="32" spans="5:5" x14ac:dyDescent="0.25">
      <c r="E32" s="3" t="str">
        <f>IF(ISBLANK(D32),"",VLOOKUP(D32,#REF!,2,FALSE))</f>
        <v/>
      </c>
    </row>
    <row r="33" spans="5:5" x14ac:dyDescent="0.25">
      <c r="E33" s="3" t="str">
        <f>IF(ISBLANK(D33),"",VLOOKUP(D33,#REF!,2,FALSE))</f>
        <v/>
      </c>
    </row>
    <row r="34" spans="5:5" x14ac:dyDescent="0.25">
      <c r="E34" s="3" t="str">
        <f>IF(ISBLANK(D34),"",VLOOKUP(D34,#REF!,2,FALSE))</f>
        <v/>
      </c>
    </row>
    <row r="35" spans="5:5" x14ac:dyDescent="0.25">
      <c r="E35" s="3" t="str">
        <f>IF(ISBLANK(D35),"",VLOOKUP(D35,#REF!,2,FALSE))</f>
        <v/>
      </c>
    </row>
    <row r="36" spans="5:5" x14ac:dyDescent="0.25">
      <c r="E36" s="3" t="str">
        <f>IF(ISBLANK(D36),"",VLOOKUP(D36,#REF!,2,FALSE))</f>
        <v/>
      </c>
    </row>
    <row r="37" spans="5:5" x14ac:dyDescent="0.25">
      <c r="E37" s="3" t="str">
        <f>IF(ISBLANK(D37),"",VLOOKUP(D37,#REF!,2,FALSE))</f>
        <v/>
      </c>
    </row>
    <row r="38" spans="5:5" x14ac:dyDescent="0.25">
      <c r="E38" s="3" t="str">
        <f>IF(ISBLANK(D38),"",VLOOKUP(D38,#REF!,2,FALSE))</f>
        <v/>
      </c>
    </row>
    <row r="39" spans="5:5" x14ac:dyDescent="0.25">
      <c r="E39" s="3" t="str">
        <f>IF(ISBLANK(D39),"",VLOOKUP(D39,#REF!,2,FALSE))</f>
        <v/>
      </c>
    </row>
    <row r="40" spans="5:5" x14ac:dyDescent="0.25">
      <c r="E40" s="3" t="str">
        <f>IF(ISBLANK(D40),"",VLOOKUP(D40,#REF!,2,FALSE))</f>
        <v/>
      </c>
    </row>
    <row r="41" spans="5:5" x14ac:dyDescent="0.25">
      <c r="E41" s="3" t="str">
        <f>IF(ISBLANK(D41),"",VLOOKUP(D41,#REF!,2,FALSE))</f>
        <v/>
      </c>
    </row>
    <row r="42" spans="5:5" x14ac:dyDescent="0.25">
      <c r="E42" s="3" t="str">
        <f>IF(ISBLANK(D42),"",VLOOKUP(D42,#REF!,2,FALSE))</f>
        <v/>
      </c>
    </row>
    <row r="43" spans="5:5" x14ac:dyDescent="0.25">
      <c r="E43" s="3" t="str">
        <f>IF(ISBLANK(D43),"",VLOOKUP(D43,#REF!,2,FALSE))</f>
        <v/>
      </c>
    </row>
    <row r="44" spans="5:5" x14ac:dyDescent="0.25">
      <c r="E44" s="3" t="str">
        <f>IF(ISBLANK(D44),"",VLOOKUP(D44,#REF!,2,FALSE))</f>
        <v/>
      </c>
    </row>
    <row r="45" spans="5:5" x14ac:dyDescent="0.25">
      <c r="E45" s="3" t="str">
        <f>IF(ISBLANK(D45),"",VLOOKUP(D45,#REF!,2,FALSE))</f>
        <v/>
      </c>
    </row>
    <row r="46" spans="5:5" x14ac:dyDescent="0.25">
      <c r="E46" s="3" t="str">
        <f>IF(ISBLANK(D46),"",VLOOKUP(D46,#REF!,2,FALSE))</f>
        <v/>
      </c>
    </row>
    <row r="47" spans="5:5" x14ac:dyDescent="0.25">
      <c r="E47" s="3" t="str">
        <f>IF(ISBLANK(D47),"",VLOOKUP(D47,#REF!,2,FALSE))</f>
        <v/>
      </c>
    </row>
    <row r="48" spans="5:5" x14ac:dyDescent="0.25">
      <c r="E48" s="3" t="str">
        <f>IF(ISBLANK(D48),"",VLOOKUP(D48,#REF!,2,FALSE))</f>
        <v/>
      </c>
    </row>
    <row r="49" spans="5:5" x14ac:dyDescent="0.25">
      <c r="E49" s="3" t="str">
        <f>IF(ISBLANK(D49),"",VLOOKUP(D49,#REF!,2,FALSE))</f>
        <v/>
      </c>
    </row>
    <row r="50" spans="5:5" x14ac:dyDescent="0.25">
      <c r="E50" s="3" t="str">
        <f>IF(ISBLANK(D50),"",VLOOKUP(D50,#REF!,2,FALSE))</f>
        <v/>
      </c>
    </row>
    <row r="51" spans="5:5" x14ac:dyDescent="0.25">
      <c r="E51" s="3" t="str">
        <f>IF(ISBLANK(D51),"",VLOOKUP(D51,#REF!,2,FALSE))</f>
        <v/>
      </c>
    </row>
    <row r="52" spans="5:5" x14ac:dyDescent="0.25">
      <c r="E52" s="3" t="str">
        <f>IF(ISBLANK(D52),"",VLOOKUP(D52,#REF!,2,FALSE))</f>
        <v/>
      </c>
    </row>
  </sheetData>
  <dataValidations count="1">
    <dataValidation type="list" allowBlank="1" showInputMessage="1" showErrorMessage="1" sqref="D1:D1048576" xr:uid="{00000000-0002-0000-0000-000000000000}">
      <formula1>#REF!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workbookViewId="0">
      <selection activeCell="A3" sqref="A3"/>
    </sheetView>
  </sheetViews>
  <sheetFormatPr defaultRowHeight="15" x14ac:dyDescent="0.25"/>
  <cols>
    <col min="2" max="2" width="21.140625" bestFit="1" customWidth="1"/>
    <col min="3" max="4" width="9.140625" style="4"/>
    <col min="5" max="5" width="10" style="3" bestFit="1" customWidth="1"/>
    <col min="6" max="6" width="10" style="4" customWidth="1"/>
    <col min="7" max="7" width="8" style="3" bestFit="1" customWidth="1"/>
    <col min="8" max="8" width="8.7109375" style="4" bestFit="1" customWidth="1"/>
    <col min="9" max="9" width="11.5703125" style="3" bestFit="1" customWidth="1"/>
    <col min="10" max="10" width="13.28515625" style="2" bestFit="1" customWidth="1"/>
    <col min="11" max="11" width="11.42578125" style="2" bestFit="1" customWidth="1"/>
    <col min="12" max="12" width="9.28515625" style="4" bestFit="1" customWidth="1"/>
    <col min="13" max="13" width="10.5703125" customWidth="1"/>
    <col min="14" max="14" width="12" bestFit="1" customWidth="1"/>
    <col min="15" max="15" width="13.28515625" bestFit="1" customWidth="1"/>
    <col min="16" max="16" width="14.7109375" customWidth="1"/>
  </cols>
  <sheetData>
    <row r="1" spans="1:16" s="5" customFormat="1" ht="30" x14ac:dyDescent="0.25">
      <c r="A1" s="5" t="s">
        <v>15</v>
      </c>
      <c r="B1" s="5" t="s">
        <v>16</v>
      </c>
      <c r="C1" s="6" t="s">
        <v>17</v>
      </c>
      <c r="D1" s="6" t="s">
        <v>18</v>
      </c>
      <c r="E1" s="7" t="s">
        <v>19</v>
      </c>
      <c r="F1" s="6" t="s">
        <v>20</v>
      </c>
      <c r="G1" s="7" t="s">
        <v>21</v>
      </c>
      <c r="H1" s="6" t="s">
        <v>22</v>
      </c>
      <c r="I1" s="7" t="s">
        <v>23</v>
      </c>
      <c r="J1" s="8" t="s">
        <v>24</v>
      </c>
      <c r="K1" s="8" t="s">
        <v>25</v>
      </c>
      <c r="L1" s="6" t="s">
        <v>26</v>
      </c>
      <c r="M1" s="5" t="s">
        <v>6</v>
      </c>
      <c r="N1" s="5" t="s">
        <v>27</v>
      </c>
      <c r="O1" s="5" t="s">
        <v>28</v>
      </c>
      <c r="P1" s="5" t="s">
        <v>29</v>
      </c>
    </row>
    <row r="2" spans="1:16" x14ac:dyDescent="0.25">
      <c r="A2">
        <v>36925</v>
      </c>
      <c r="B2" t="s">
        <v>125</v>
      </c>
      <c r="D2" s="4" t="s">
        <v>76</v>
      </c>
      <c r="E2" s="3">
        <f>IF(ISBLANK(D2),"",VLOOKUP(D2,Planilha4!$A$2:$B$11,2,FALSE))</f>
        <v>4</v>
      </c>
      <c r="F2" s="4" t="s">
        <v>102</v>
      </c>
      <c r="G2" s="3">
        <f>IF(ISBLANK(F2),"",VLOOKUP(F2,Planilha4!G2:H17,2,FALSE))</f>
        <v>11</v>
      </c>
      <c r="H2" s="4" t="s">
        <v>65</v>
      </c>
      <c r="I2" s="3">
        <f>IF(ISBLANK(H2),"",VLOOKUP(H2,Planilha4!D2:E30,2,FALSE))</f>
        <v>2</v>
      </c>
      <c r="J2" s="2" t="s">
        <v>126</v>
      </c>
      <c r="K2" s="2">
        <v>46451</v>
      </c>
      <c r="L2" s="4" t="s">
        <v>68</v>
      </c>
      <c r="N2">
        <v>8</v>
      </c>
      <c r="O2" s="9">
        <v>2900.39</v>
      </c>
      <c r="P2" s="2">
        <v>46143</v>
      </c>
    </row>
    <row r="3" spans="1:16" x14ac:dyDescent="0.25">
      <c r="E3" s="3" t="str">
        <f>IF(ISBLANK(D3),"",VLOOKUP(D3,Planilha4!$A$2:$B$11,2,FALSE))</f>
        <v/>
      </c>
      <c r="G3" s="3" t="str">
        <f>IF(ISBLANK(F3),"",VLOOKUP(F3,Planilha4!G3:H18,2,FALSE))</f>
        <v/>
      </c>
      <c r="I3" s="3" t="str">
        <f>IF(ISBLANK(H3),"",VLOOKUP(H3,#REF!,2,FALSE))</f>
        <v/>
      </c>
    </row>
    <row r="4" spans="1:16" x14ac:dyDescent="0.25">
      <c r="E4" s="3" t="str">
        <f>IF(ISBLANK(D4),"",VLOOKUP(D4,Planilha4!$A$2:$B$11,2,FALSE))</f>
        <v/>
      </c>
      <c r="G4" s="3" t="str">
        <f>IF(ISBLANK(F4),"",VLOOKUP(F4,Planilha4!G4:H19,2,FALSE))</f>
        <v/>
      </c>
      <c r="I4" s="3" t="str">
        <f>IF(ISBLANK(H4),"",VLOOKUP(H4,#REF!,2,FALSE))</f>
        <v/>
      </c>
    </row>
    <row r="5" spans="1:16" x14ac:dyDescent="0.25">
      <c r="E5" s="3" t="str">
        <f>IF(ISBLANK(D5),"",VLOOKUP(D5,Planilha4!$A$2:$B$11,2,FALSE))</f>
        <v/>
      </c>
      <c r="G5" s="3" t="str">
        <f>IF(ISBLANK(F5),"",VLOOKUP(F5,Planilha4!G5:H20,2,FALSE))</f>
        <v/>
      </c>
      <c r="I5" s="3" t="str">
        <f>IF(ISBLANK(H5),"",VLOOKUP(H5,#REF!,2,FALSE))</f>
        <v/>
      </c>
    </row>
    <row r="6" spans="1:16" x14ac:dyDescent="0.25">
      <c r="E6" s="3" t="str">
        <f>IF(ISBLANK(D6),"",VLOOKUP(D6,Planilha4!$A$2:$B$11,2,FALSE))</f>
        <v/>
      </c>
      <c r="G6" s="3" t="str">
        <f>IF(ISBLANK(F6),"",VLOOKUP(F6,Planilha4!G6:H21,2,FALSE))</f>
        <v/>
      </c>
      <c r="I6" s="3" t="str">
        <f>IF(ISBLANK(H6),"",VLOOKUP(H6,#REF!,2,FALSE))</f>
        <v/>
      </c>
    </row>
    <row r="7" spans="1:16" x14ac:dyDescent="0.25">
      <c r="E7" s="3" t="str">
        <f>IF(ISBLANK(D7),"",VLOOKUP(D7,Planilha4!$A$2:$B$11,2,FALSE))</f>
        <v/>
      </c>
      <c r="G7" s="3" t="str">
        <f>IF(ISBLANK(F7),"",VLOOKUP(F7,Planilha4!G7:H22,2,FALSE))</f>
        <v/>
      </c>
      <c r="I7" s="3" t="str">
        <f>IF(ISBLANK(H7),"",VLOOKUP(H7,#REF!,2,FALSE))</f>
        <v/>
      </c>
    </row>
    <row r="8" spans="1:16" x14ac:dyDescent="0.25">
      <c r="E8" s="3" t="str">
        <f>IF(ISBLANK(D8),"",VLOOKUP(D8,Planilha4!$A$2:$B$11,2,FALSE))</f>
        <v/>
      </c>
      <c r="G8" s="3" t="str">
        <f>IF(ISBLANK(F8),"",VLOOKUP(F8,Planilha4!G8:H23,2,FALSE))</f>
        <v/>
      </c>
      <c r="I8" s="3" t="str">
        <f>IF(ISBLANK(H8),"",VLOOKUP(H8,#REF!,2,FALSE))</f>
        <v/>
      </c>
    </row>
    <row r="9" spans="1:16" x14ac:dyDescent="0.25">
      <c r="E9" s="3" t="str">
        <f>IF(ISBLANK(D9),"",VLOOKUP(D9,Planilha4!$A$2:$B$11,2,FALSE))</f>
        <v/>
      </c>
      <c r="G9" s="3" t="str">
        <f>IF(ISBLANK(F9),"",VLOOKUP(F9,Planilha4!G9:H24,2,FALSE))</f>
        <v/>
      </c>
      <c r="I9" s="3" t="str">
        <f>IF(ISBLANK(H9),"",VLOOKUP(H9,#REF!,2,FALSE))</f>
        <v/>
      </c>
    </row>
    <row r="10" spans="1:16" x14ac:dyDescent="0.25">
      <c r="E10" s="3" t="str">
        <f>IF(ISBLANK(D10),"",VLOOKUP(D10,Planilha4!$A$2:$B$11,2,FALSE))</f>
        <v/>
      </c>
      <c r="G10" s="3" t="str">
        <f>IF(ISBLANK(F10),"",VLOOKUP(F10,Planilha4!G10:H25,2,FALSE))</f>
        <v/>
      </c>
      <c r="I10" s="3" t="str">
        <f>IF(ISBLANK(H10),"",VLOOKUP(H10,#REF!,2,FALSE))</f>
        <v/>
      </c>
    </row>
    <row r="11" spans="1:16" x14ac:dyDescent="0.25">
      <c r="E11" s="3" t="str">
        <f>IF(ISBLANK(D11),"",VLOOKUP(D11,Planilha4!$A$2:$B$11,2,FALSE))</f>
        <v/>
      </c>
      <c r="G11" s="3" t="str">
        <f>IF(ISBLANK(F11),"",VLOOKUP(F11,Planilha4!G11:H26,2,FALSE))</f>
        <v/>
      </c>
      <c r="I11" s="3" t="str">
        <f>IF(ISBLANK(H11),"",VLOOKUP(H11,#REF!,2,FALSE))</f>
        <v/>
      </c>
    </row>
    <row r="12" spans="1:16" x14ac:dyDescent="0.25">
      <c r="E12" s="3" t="str">
        <f>IF(ISBLANK(D12),"",VLOOKUP(D12,Planilha4!$A$2:$B$11,2,FALSE))</f>
        <v/>
      </c>
      <c r="G12" s="3" t="str">
        <f>IF(ISBLANK(F12),"",VLOOKUP(F12,Planilha4!G12:H27,2,FALSE))</f>
        <v/>
      </c>
      <c r="I12" s="3" t="str">
        <f>IF(ISBLANK(H12),"",VLOOKUP(H12,#REF!,2,FALSE))</f>
        <v/>
      </c>
    </row>
    <row r="13" spans="1:16" x14ac:dyDescent="0.25">
      <c r="E13" s="3" t="str">
        <f>IF(ISBLANK(D13),"",VLOOKUP(D13,Planilha4!$A$2:$B$11,2,FALSE))</f>
        <v/>
      </c>
      <c r="G13" s="3" t="str">
        <f>IF(ISBLANK(F13),"",VLOOKUP(F13,Planilha4!G13:H28,2,FALSE))</f>
        <v/>
      </c>
      <c r="I13" s="3" t="str">
        <f>IF(ISBLANK(H13),"",VLOOKUP(H13,#REF!,2,FALSE))</f>
        <v/>
      </c>
    </row>
    <row r="14" spans="1:16" x14ac:dyDescent="0.25">
      <c r="E14" s="3" t="str">
        <f>IF(ISBLANK(D14),"",VLOOKUP(D14,Planilha4!$A$2:$B$11,2,FALSE))</f>
        <v/>
      </c>
      <c r="G14" s="3" t="str">
        <f>IF(ISBLANK(F14),"",VLOOKUP(F14,Planilha4!G14:H29,2,FALSE))</f>
        <v/>
      </c>
      <c r="I14" s="3" t="str">
        <f>IF(ISBLANK(H14),"",VLOOKUP(H14,#REF!,2,FALSE))</f>
        <v/>
      </c>
    </row>
    <row r="15" spans="1:16" x14ac:dyDescent="0.25">
      <c r="E15" s="3" t="str">
        <f>IF(ISBLANK(D15),"",VLOOKUP(D15,Planilha4!$A$2:$B$11,2,FALSE))</f>
        <v/>
      </c>
      <c r="G15" s="3" t="str">
        <f>IF(ISBLANK(F15),"",VLOOKUP(F15,Planilha4!G15:H30,2,FALSE))</f>
        <v/>
      </c>
      <c r="I15" s="3" t="str">
        <f>IF(ISBLANK(H15),"",VLOOKUP(H15,#REF!,2,FALSE))</f>
        <v/>
      </c>
    </row>
    <row r="16" spans="1:16" x14ac:dyDescent="0.25">
      <c r="E16" s="3" t="str">
        <f>IF(ISBLANK(D16),"",VLOOKUP(D16,Planilha4!$A$2:$B$11,2,FALSE))</f>
        <v/>
      </c>
      <c r="G16" s="3" t="str">
        <f>IF(ISBLANK(F16),"",VLOOKUP(F16,Planilha4!G16:H31,2,FALSE))</f>
        <v/>
      </c>
      <c r="I16" s="3" t="str">
        <f>IF(ISBLANK(H16),"",VLOOKUP(H16,#REF!,2,FALSE))</f>
        <v/>
      </c>
    </row>
    <row r="17" spans="5:9" x14ac:dyDescent="0.25">
      <c r="E17" s="3" t="str">
        <f>IF(ISBLANK(D17),"",VLOOKUP(D17,Planilha4!$A$2:$B$11,2,FALSE))</f>
        <v/>
      </c>
      <c r="G17" s="3" t="str">
        <f>IF(ISBLANK(F17),"",VLOOKUP(F17,Planilha4!G17:H32,2,FALSE))</f>
        <v/>
      </c>
      <c r="I17" s="3" t="str">
        <f>IF(ISBLANK(H17),"",VLOOKUP(H17,#REF!,2,FALSE))</f>
        <v/>
      </c>
    </row>
    <row r="18" spans="5:9" x14ac:dyDescent="0.25">
      <c r="E18" s="3" t="str">
        <f>IF(ISBLANK(D18),"",VLOOKUP(D18,Planilha4!$A$2:$B$11,2,FALSE))</f>
        <v/>
      </c>
      <c r="G18" s="3" t="str">
        <f>IF(ISBLANK(F18),"",VLOOKUP(F18,Planilha4!G18:H33,2,FALSE))</f>
        <v/>
      </c>
      <c r="I18" s="3" t="str">
        <f>IF(ISBLANK(H18),"",VLOOKUP(H18,#REF!,2,FALSE))</f>
        <v/>
      </c>
    </row>
    <row r="19" spans="5:9" x14ac:dyDescent="0.25">
      <c r="E19" s="3" t="str">
        <f>IF(ISBLANK(D19),"",VLOOKUP(D19,Planilha4!$A$2:$B$11,2,FALSE))</f>
        <v/>
      </c>
      <c r="G19" s="3" t="str">
        <f>IF(ISBLANK(F19),"",VLOOKUP(F19,Planilha4!G19:H34,2,FALSE))</f>
        <v/>
      </c>
      <c r="I19" s="3" t="str">
        <f>IF(ISBLANK(H19),"",VLOOKUP(H19,#REF!,2,FALSE))</f>
        <v/>
      </c>
    </row>
    <row r="20" spans="5:9" x14ac:dyDescent="0.25">
      <c r="E20" s="3" t="str">
        <f>IF(ISBLANK(D20),"",VLOOKUP(D20,Planilha4!$A$2:$B$11,2,FALSE))</f>
        <v/>
      </c>
      <c r="G20" s="3" t="str">
        <f>IF(ISBLANK(F20),"",VLOOKUP(F20,Planilha4!G20:H35,2,FALSE))</f>
        <v/>
      </c>
      <c r="I20" s="3" t="str">
        <f>IF(ISBLANK(H20),"",VLOOKUP(H20,#REF!,2,FALSE))</f>
        <v/>
      </c>
    </row>
    <row r="21" spans="5:9" x14ac:dyDescent="0.25">
      <c r="E21" s="3" t="str">
        <f>IF(ISBLANK(D21),"",VLOOKUP(D21,Planilha4!$A$2:$B$11,2,FALSE))</f>
        <v/>
      </c>
      <c r="G21" s="3" t="str">
        <f>IF(ISBLANK(F21),"",VLOOKUP(F21,Planilha4!G21:H36,2,FALSE))</f>
        <v/>
      </c>
      <c r="I21" s="3" t="str">
        <f>IF(ISBLANK(H21),"",VLOOKUP(H21,#REF!,2,FALSE))</f>
        <v/>
      </c>
    </row>
    <row r="22" spans="5:9" x14ac:dyDescent="0.25">
      <c r="E22" s="3" t="str">
        <f>IF(ISBLANK(D22),"",VLOOKUP(D22,Planilha4!$A$2:$B$11,2,FALSE))</f>
        <v/>
      </c>
      <c r="G22" s="3" t="str">
        <f>IF(ISBLANK(F22),"",VLOOKUP(F22,Planilha4!G22:H37,2,FALSE))</f>
        <v/>
      </c>
      <c r="I22" s="3" t="str">
        <f>IF(ISBLANK(H22),"",VLOOKUP(H22,#REF!,2,FALSE))</f>
        <v/>
      </c>
    </row>
    <row r="23" spans="5:9" x14ac:dyDescent="0.25">
      <c r="E23" s="3" t="str">
        <f>IF(ISBLANK(D23),"",VLOOKUP(D23,Planilha4!$A$2:$B$11,2,FALSE))</f>
        <v/>
      </c>
      <c r="G23" s="3" t="str">
        <f>IF(ISBLANK(F23),"",VLOOKUP(F23,Planilha4!G23:H38,2,FALSE))</f>
        <v/>
      </c>
      <c r="I23" s="3" t="str">
        <f>IF(ISBLANK(H23),"",VLOOKUP(H23,#REF!,2,FALSE))</f>
        <v/>
      </c>
    </row>
    <row r="24" spans="5:9" x14ac:dyDescent="0.25">
      <c r="E24" s="3" t="str">
        <f>IF(ISBLANK(D24),"",VLOOKUP(D24,Planilha4!$A$2:$B$11,2,FALSE))</f>
        <v/>
      </c>
      <c r="G24" s="3" t="str">
        <f>IF(ISBLANK(F24),"",VLOOKUP(F24,Planilha4!G24:H39,2,FALSE))</f>
        <v/>
      </c>
      <c r="I24" s="3" t="str">
        <f>IF(ISBLANK(H24),"",VLOOKUP(H24,#REF!,2,FALSE))</f>
        <v/>
      </c>
    </row>
    <row r="25" spans="5:9" x14ac:dyDescent="0.25">
      <c r="E25" s="3" t="str">
        <f>IF(ISBLANK(D25),"",VLOOKUP(D25,Planilha4!$A$2:$B$11,2,FALSE))</f>
        <v/>
      </c>
      <c r="G25" s="3" t="str">
        <f>IF(ISBLANK(F25),"",VLOOKUP(F25,Planilha4!G25:H40,2,FALSE))</f>
        <v/>
      </c>
      <c r="I25" s="3" t="str">
        <f>IF(ISBLANK(H25),"",VLOOKUP(H25,#REF!,2,FALSE))</f>
        <v/>
      </c>
    </row>
    <row r="26" spans="5:9" x14ac:dyDescent="0.25">
      <c r="E26" s="3" t="str">
        <f>IF(ISBLANK(D26),"",VLOOKUP(D26,Planilha4!$A$2:$B$11,2,FALSE))</f>
        <v/>
      </c>
      <c r="G26" s="3" t="str">
        <f>IF(ISBLANK(F26),"",VLOOKUP(F26,Planilha4!G26:H41,2,FALSE))</f>
        <v/>
      </c>
      <c r="I26" s="3" t="str">
        <f>IF(ISBLANK(H26),"",VLOOKUP(H26,#REF!,2,FALSE))</f>
        <v/>
      </c>
    </row>
    <row r="27" spans="5:9" x14ac:dyDescent="0.25">
      <c r="E27" s="3" t="str">
        <f>IF(ISBLANK(D27),"",VLOOKUP(D27,Planilha4!$A$2:$B$11,2,FALSE))</f>
        <v/>
      </c>
      <c r="G27" s="3" t="str">
        <f>IF(ISBLANK(F27),"",VLOOKUP(F27,Planilha4!G27:H42,2,FALSE))</f>
        <v/>
      </c>
      <c r="I27" s="3" t="str">
        <f>IF(ISBLANK(H27),"",VLOOKUP(H27,#REF!,2,FALSE))</f>
        <v/>
      </c>
    </row>
    <row r="28" spans="5:9" x14ac:dyDescent="0.25">
      <c r="E28" s="3" t="str">
        <f>IF(ISBLANK(D28),"",VLOOKUP(D28,Planilha4!$A$2:$B$11,2,FALSE))</f>
        <v/>
      </c>
      <c r="G28" s="3" t="str">
        <f>IF(ISBLANK(F28),"",VLOOKUP(F28,Planilha4!G28:H43,2,FALSE))</f>
        <v/>
      </c>
      <c r="I28" s="3" t="str">
        <f>IF(ISBLANK(H28),"",VLOOKUP(H28,#REF!,2,FALSE))</f>
        <v/>
      </c>
    </row>
    <row r="29" spans="5:9" x14ac:dyDescent="0.25">
      <c r="E29" s="3" t="str">
        <f>IF(ISBLANK(D29),"",VLOOKUP(D29,Planilha4!$A$2:$B$11,2,FALSE))</f>
        <v/>
      </c>
      <c r="G29" s="3" t="str">
        <f>IF(ISBLANK(F29),"",VLOOKUP(F29,Planilha4!G29:H44,2,FALSE))</f>
        <v/>
      </c>
      <c r="I29" s="3" t="str">
        <f>IF(ISBLANK(H29),"",VLOOKUP(H29,#REF!,2,FALSE))</f>
        <v/>
      </c>
    </row>
    <row r="30" spans="5:9" x14ac:dyDescent="0.25">
      <c r="E30" s="3" t="str">
        <f>IF(ISBLANK(D30),"",VLOOKUP(D30,Planilha4!$A$2:$B$11,2,FALSE))</f>
        <v/>
      </c>
      <c r="G30" s="3" t="str">
        <f>IF(ISBLANK(F30),"",VLOOKUP(F30,Planilha4!G30:H45,2,FALSE))</f>
        <v/>
      </c>
      <c r="I30" s="3" t="str">
        <f>IF(ISBLANK(H30),"",VLOOKUP(H30,#REF!,2,FALSE))</f>
        <v/>
      </c>
    </row>
    <row r="31" spans="5:9" x14ac:dyDescent="0.25">
      <c r="E31" s="3" t="str">
        <f>IF(ISBLANK(D31),"",VLOOKUP(D31,Planilha4!$A$2:$B$11,2,FALSE))</f>
        <v/>
      </c>
      <c r="G31" s="3" t="str">
        <f>IF(ISBLANK(F31),"",VLOOKUP(F31,Planilha4!G31:H46,2,FALSE))</f>
        <v/>
      </c>
      <c r="I31" s="3" t="str">
        <f>IF(ISBLANK(H31),"",VLOOKUP(H31,#REF!,2,FALSE))</f>
        <v/>
      </c>
    </row>
    <row r="32" spans="5:9" x14ac:dyDescent="0.25">
      <c r="E32" s="3" t="str">
        <f>IF(ISBLANK(D32),"",VLOOKUP(D32,Planilha4!$A$2:$B$11,2,FALSE))</f>
        <v/>
      </c>
      <c r="G32" s="3" t="str">
        <f>IF(ISBLANK(F32),"",VLOOKUP(F32,Planilha4!G32:H47,2,FALSE))</f>
        <v/>
      </c>
      <c r="I32" s="3" t="str">
        <f>IF(ISBLANK(H32),"",VLOOKUP(H32,#REF!,2,FALSE))</f>
        <v/>
      </c>
    </row>
    <row r="33" spans="5:9" x14ac:dyDescent="0.25">
      <c r="E33" s="3" t="str">
        <f>IF(ISBLANK(D33),"",VLOOKUP(D33,Planilha4!$A$2:$B$11,2,FALSE))</f>
        <v/>
      </c>
      <c r="G33" s="3" t="str">
        <f>IF(ISBLANK(F33),"",VLOOKUP(F33,Planilha4!G33:H48,2,FALSE))</f>
        <v/>
      </c>
      <c r="I33" s="3" t="str">
        <f>IF(ISBLANK(H33),"",VLOOKUP(H33,#REF!,2,FALSE))</f>
        <v/>
      </c>
    </row>
    <row r="34" spans="5:9" x14ac:dyDescent="0.25">
      <c r="E34" s="3" t="str">
        <f>IF(ISBLANK(D34),"",VLOOKUP(D34,Planilha4!$A$2:$B$11,2,FALSE))</f>
        <v/>
      </c>
      <c r="G34" s="3" t="str">
        <f>IF(ISBLANK(F34),"",VLOOKUP(F34,Planilha4!G34:H49,2,FALSE))</f>
        <v/>
      </c>
      <c r="I34" s="3" t="str">
        <f>IF(ISBLANK(H34),"",VLOOKUP(H34,#REF!,2,FALSE))</f>
        <v/>
      </c>
    </row>
    <row r="35" spans="5:9" x14ac:dyDescent="0.25">
      <c r="E35" s="3" t="str">
        <f>IF(ISBLANK(D35),"",VLOOKUP(D35,Planilha4!$A$2:$B$11,2,FALSE))</f>
        <v/>
      </c>
      <c r="G35" s="3" t="str">
        <f>IF(ISBLANK(F35),"",VLOOKUP(F35,#REF!,2,FALSE))</f>
        <v/>
      </c>
      <c r="I35" s="3" t="str">
        <f>IF(ISBLANK(H35),"",VLOOKUP(H35,#REF!,2,FALSE))</f>
        <v/>
      </c>
    </row>
    <row r="36" spans="5:9" x14ac:dyDescent="0.25">
      <c r="E36" s="3" t="str">
        <f>IF(ISBLANK(D36),"",VLOOKUP(D36,Planilha4!$A$2:$B$11,2,FALSE))</f>
        <v/>
      </c>
      <c r="G36" s="3" t="str">
        <f>IF(ISBLANK(F36),"",VLOOKUP(F36,#REF!,2,FALSE))</f>
        <v/>
      </c>
      <c r="I36" s="3" t="str">
        <f>IF(ISBLANK(H36),"",VLOOKUP(H36,#REF!,2,FALSE))</f>
        <v/>
      </c>
    </row>
    <row r="37" spans="5:9" x14ac:dyDescent="0.25">
      <c r="E37" s="3" t="str">
        <f>IF(ISBLANK(D37),"",VLOOKUP(D37,Planilha4!$A$2:$B$11,2,FALSE))</f>
        <v/>
      </c>
      <c r="G37" s="3" t="str">
        <f>IF(ISBLANK(F37),"",VLOOKUP(F37,#REF!,2,FALSE))</f>
        <v/>
      </c>
      <c r="I37" s="3" t="str">
        <f>IF(ISBLANK(H37),"",VLOOKUP(H37,#REF!,2,FALSE))</f>
        <v/>
      </c>
    </row>
    <row r="38" spans="5:9" x14ac:dyDescent="0.25">
      <c r="E38" s="3" t="str">
        <f>IF(ISBLANK(D38),"",VLOOKUP(D38,Planilha4!$A$2:$B$11,2,FALSE))</f>
        <v/>
      </c>
      <c r="G38" s="3" t="str">
        <f>IF(ISBLANK(F38),"",VLOOKUP(F38,#REF!,2,FALSE))</f>
        <v/>
      </c>
      <c r="I38" s="3" t="str">
        <f>IF(ISBLANK(H38),"",VLOOKUP(H38,#REF!,2,FALSE))</f>
        <v/>
      </c>
    </row>
    <row r="39" spans="5:9" x14ac:dyDescent="0.25">
      <c r="E39" s="3" t="str">
        <f>IF(ISBLANK(D39),"",VLOOKUP(D39,Planilha4!$A$2:$B$11,2,FALSE))</f>
        <v/>
      </c>
      <c r="G39" s="3" t="str">
        <f>IF(ISBLANK(F39),"",VLOOKUP(F39,#REF!,2,FALSE))</f>
        <v/>
      </c>
      <c r="I39" s="3" t="str">
        <f>IF(ISBLANK(H39),"",VLOOKUP(H39,#REF!,2,FALSE))</f>
        <v/>
      </c>
    </row>
    <row r="40" spans="5:9" x14ac:dyDescent="0.25">
      <c r="E40" s="3" t="str">
        <f>IF(ISBLANK(D40),"",VLOOKUP(D40,Planilha4!$A$2:$B$11,2,FALSE))</f>
        <v/>
      </c>
      <c r="G40" s="3" t="str">
        <f>IF(ISBLANK(F40),"",VLOOKUP(F40,#REF!,2,FALSE))</f>
        <v/>
      </c>
      <c r="I40" s="3" t="str">
        <f>IF(ISBLANK(H40),"",VLOOKUP(H40,#REF!,2,FALSE))</f>
        <v/>
      </c>
    </row>
  </sheetData>
  <dataValidations count="1">
    <dataValidation type="list" allowBlank="1" showInputMessage="1" showErrorMessage="1" sqref="H3:H1048576 C53:C1048576 F35:F1048576 C1:D1 D3:D1048576 F1 H1 L1 L40:L1048576" xr:uid="{00000000-0002-0000-0100-000000000000}">
      <formula1>#REF!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485629-A62C-40D8-8F31-A760E59FACCF}">
          <x14:formula1>
            <xm:f>Planilha4!$K$1:$K$3</xm:f>
          </x14:formula1>
          <xm:sqref>C2:C52</xm:sqref>
        </x14:dataValidation>
        <x14:dataValidation type="list" allowBlank="1" showInputMessage="1" showErrorMessage="1" xr:uid="{0EED7761-17D3-4942-B89F-9DAB9AB6899A}">
          <x14:formula1>
            <xm:f>Planilha4!$A$2:$A$11</xm:f>
          </x14:formula1>
          <xm:sqref>D2</xm:sqref>
        </x14:dataValidation>
        <x14:dataValidation type="list" allowBlank="1" showInputMessage="1" showErrorMessage="1" xr:uid="{A6C85850-0FF2-4519-A464-16E9C167A806}">
          <x14:formula1>
            <xm:f>Planilha4!$G$2:$G$17</xm:f>
          </x14:formula1>
          <xm:sqref>F2:F34</xm:sqref>
        </x14:dataValidation>
        <x14:dataValidation type="list" allowBlank="1" showInputMessage="1" showErrorMessage="1" xr:uid="{B1B3F9DC-DD07-4294-BBE3-43643825AF80}">
          <x14:formula1>
            <xm:f>Planilha4!$D$2:$D$39</xm:f>
          </x14:formula1>
          <xm:sqref>H2</xm:sqref>
        </x14:dataValidation>
        <x14:dataValidation type="list" allowBlank="1" showInputMessage="1" showErrorMessage="1" xr:uid="{3B609039-E600-4CFC-8CED-56DC3A8AEEFD}">
          <x14:formula1>
            <xm:f>Planilha4!$M$1:$M$6</xm:f>
          </x14:formula1>
          <xm:sqref>L2:L39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9"/>
  <sheetViews>
    <sheetView zoomScale="80" zoomScaleNormal="80" workbookViewId="0">
      <selection activeCell="A23" sqref="A23"/>
    </sheetView>
  </sheetViews>
  <sheetFormatPr defaultRowHeight="15" x14ac:dyDescent="0.25"/>
  <cols>
    <col min="1" max="1" width="27.5703125" bestFit="1" customWidth="1"/>
    <col min="2" max="2" width="18.5703125" style="4" customWidth="1"/>
    <col min="3" max="3" width="17.7109375" style="3" customWidth="1"/>
    <col min="4" max="4" width="37" customWidth="1"/>
  </cols>
  <sheetData>
    <row r="1" spans="1:24" x14ac:dyDescent="0.25">
      <c r="A1" t="s">
        <v>15</v>
      </c>
      <c r="B1" s="4" t="s">
        <v>30</v>
      </c>
      <c r="C1" s="3" t="s">
        <v>31</v>
      </c>
      <c r="D1" t="s">
        <v>32</v>
      </c>
      <c r="E1" s="1">
        <v>46143</v>
      </c>
      <c r="F1" s="1">
        <v>46174</v>
      </c>
      <c r="G1" s="1">
        <v>46204</v>
      </c>
      <c r="H1" s="1">
        <v>46235</v>
      </c>
      <c r="I1" s="1">
        <v>46266</v>
      </c>
      <c r="J1" s="1">
        <v>46296</v>
      </c>
      <c r="K1" s="1">
        <v>46327</v>
      </c>
      <c r="L1" s="1">
        <v>46357</v>
      </c>
      <c r="M1" s="1">
        <v>46388</v>
      </c>
      <c r="N1" s="1">
        <v>46419</v>
      </c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>
        <v>73920</v>
      </c>
      <c r="B2" s="4" t="s">
        <v>47</v>
      </c>
      <c r="C2" s="3">
        <f>IF(ISBLANK(B2),"",VLOOKUP(B2,Planilha4!$P$2:$Q$25,2,FALSE))</f>
        <v>6</v>
      </c>
      <c r="D2" t="s">
        <v>43</v>
      </c>
      <c r="E2">
        <v>0</v>
      </c>
      <c r="F2">
        <f>88-36</f>
        <v>52</v>
      </c>
      <c r="G2">
        <v>88</v>
      </c>
      <c r="H2">
        <v>88</v>
      </c>
      <c r="I2">
        <v>88</v>
      </c>
      <c r="J2">
        <v>88</v>
      </c>
      <c r="K2">
        <v>88</v>
      </c>
      <c r="L2">
        <v>88</v>
      </c>
      <c r="M2">
        <v>0</v>
      </c>
      <c r="N2">
        <v>0</v>
      </c>
    </row>
    <row r="3" spans="1:24" x14ac:dyDescent="0.25">
      <c r="A3">
        <v>36586</v>
      </c>
      <c r="B3" s="4" t="s">
        <v>46</v>
      </c>
      <c r="C3" s="3">
        <f>IF(ISBLANK(B3),"",VLOOKUP(B3,Planilha4!$P$2:$Q$25,2,FALSE))</f>
        <v>5</v>
      </c>
      <c r="D3" t="s">
        <v>39</v>
      </c>
      <c r="E3">
        <v>176</v>
      </c>
      <c r="F3">
        <v>176</v>
      </c>
      <c r="G3">
        <v>176</v>
      </c>
      <c r="H3">
        <v>176</v>
      </c>
      <c r="I3">
        <v>176</v>
      </c>
      <c r="J3">
        <v>176</v>
      </c>
      <c r="K3">
        <v>176</v>
      </c>
      <c r="L3">
        <v>176</v>
      </c>
      <c r="M3">
        <v>0</v>
      </c>
      <c r="N3">
        <v>0</v>
      </c>
    </row>
    <row r="4" spans="1:24" x14ac:dyDescent="0.25">
      <c r="A4">
        <v>36529</v>
      </c>
      <c r="B4" s="4" t="s">
        <v>46</v>
      </c>
      <c r="C4" s="3">
        <f>IF(ISBLANK(B4),"",VLOOKUP(B4,Planilha4!$P$2:$Q$25,2,FALSE))</f>
        <v>5</v>
      </c>
      <c r="D4" t="s">
        <v>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24" x14ac:dyDescent="0.25">
      <c r="A5">
        <v>79483</v>
      </c>
      <c r="B5" s="4" t="s">
        <v>46</v>
      </c>
      <c r="C5" s="3">
        <f>IF(ISBLANK(B5),"",VLOOKUP(B5,Planilha4!$P$2:$Q$25,2,FALSE))</f>
        <v>5</v>
      </c>
      <c r="D5" t="s">
        <v>40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24" x14ac:dyDescent="0.25">
      <c r="A6">
        <v>79483</v>
      </c>
      <c r="B6" s="4" t="s">
        <v>47</v>
      </c>
      <c r="C6" s="3">
        <f>IF(ISBLANK(B6),"",VLOOKUP(B6,Planilha4!$P$2:$Q$25,2,FALSE))</f>
        <v>6</v>
      </c>
      <c r="D6" t="s">
        <v>40</v>
      </c>
      <c r="E6">
        <v>176</v>
      </c>
      <c r="F6">
        <v>176</v>
      </c>
      <c r="G6">
        <v>176</v>
      </c>
      <c r="H6">
        <v>176</v>
      </c>
      <c r="I6">
        <v>176</v>
      </c>
      <c r="J6">
        <v>176</v>
      </c>
      <c r="K6">
        <v>176</v>
      </c>
      <c r="L6">
        <v>176</v>
      </c>
      <c r="M6">
        <v>0</v>
      </c>
      <c r="N6">
        <v>0</v>
      </c>
    </row>
    <row r="7" spans="1:24" x14ac:dyDescent="0.25">
      <c r="A7">
        <v>75705</v>
      </c>
      <c r="B7" s="4" t="s">
        <v>46</v>
      </c>
      <c r="C7" s="3">
        <f>IF(ISBLANK(B7),"",VLOOKUP(B7,Planilha4!$P$2:$Q$25,2,FALSE))</f>
        <v>5</v>
      </c>
      <c r="D7" t="s">
        <v>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4" x14ac:dyDescent="0.25">
      <c r="A8">
        <v>36712</v>
      </c>
      <c r="B8" s="4" t="s">
        <v>46</v>
      </c>
      <c r="C8" s="3">
        <f>IF(ISBLANK(B8),"",VLOOKUP(B8,Planilha4!$P$2:$Q$25,2,FALSE))</f>
        <v>5</v>
      </c>
      <c r="D8" t="s">
        <v>123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24" x14ac:dyDescent="0.25">
      <c r="A9">
        <v>73605</v>
      </c>
      <c r="B9" s="4" t="s">
        <v>47</v>
      </c>
      <c r="C9" s="3">
        <f>IF(ISBLANK(B9),"",VLOOKUP(B9,Planilha4!$P$2:$Q$25,2,FALSE))</f>
        <v>6</v>
      </c>
      <c r="D9" t="s">
        <v>35</v>
      </c>
      <c r="E9">
        <v>176</v>
      </c>
      <c r="F9">
        <v>176</v>
      </c>
      <c r="G9">
        <v>176</v>
      </c>
      <c r="H9">
        <v>176</v>
      </c>
      <c r="I9">
        <v>176</v>
      </c>
      <c r="J9">
        <v>176</v>
      </c>
      <c r="K9">
        <v>176</v>
      </c>
      <c r="L9">
        <v>176</v>
      </c>
      <c r="M9">
        <v>0</v>
      </c>
      <c r="N9">
        <v>0</v>
      </c>
    </row>
    <row r="10" spans="1:24" x14ac:dyDescent="0.25">
      <c r="A10">
        <v>73211</v>
      </c>
      <c r="B10" s="4" t="s">
        <v>47</v>
      </c>
      <c r="C10" s="3">
        <f>IF(ISBLANK(B10),"",VLOOKUP(B10,Planilha4!$P$2:$Q$25,2,FALSE))</f>
        <v>6</v>
      </c>
      <c r="D10" t="s">
        <v>34</v>
      </c>
      <c r="E10">
        <v>88</v>
      </c>
      <c r="F10">
        <v>88</v>
      </c>
      <c r="G10">
        <v>88</v>
      </c>
      <c r="H10">
        <v>88</v>
      </c>
      <c r="I10">
        <v>88</v>
      </c>
      <c r="J10">
        <v>88</v>
      </c>
      <c r="K10">
        <v>88</v>
      </c>
      <c r="L10">
        <v>88</v>
      </c>
      <c r="M10">
        <v>0</v>
      </c>
      <c r="N10">
        <v>0</v>
      </c>
    </row>
    <row r="11" spans="1:24" x14ac:dyDescent="0.25">
      <c r="A11">
        <v>73211</v>
      </c>
      <c r="B11" s="4" t="s">
        <v>46</v>
      </c>
      <c r="C11" s="3">
        <f>IF(ISBLANK(B11),"",VLOOKUP(B11,Planilha4!$P$2:$Q$25,2,FALSE))</f>
        <v>5</v>
      </c>
      <c r="D11" t="s">
        <v>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24" x14ac:dyDescent="0.25">
      <c r="A12">
        <v>73771</v>
      </c>
      <c r="B12" s="4" t="s">
        <v>47</v>
      </c>
      <c r="C12" s="3">
        <f>IF(ISBLANK(B12),"",VLOOKUP(B12,Planilha4!$P$2:$Q$25,2,FALSE))</f>
        <v>6</v>
      </c>
      <c r="D12" t="s">
        <v>36</v>
      </c>
      <c r="E12">
        <v>176</v>
      </c>
      <c r="F12">
        <v>176</v>
      </c>
      <c r="G12">
        <v>176</v>
      </c>
      <c r="H12">
        <v>176</v>
      </c>
      <c r="I12">
        <v>176</v>
      </c>
      <c r="J12">
        <v>176</v>
      </c>
      <c r="K12">
        <v>176</v>
      </c>
      <c r="L12">
        <v>176</v>
      </c>
      <c r="M12">
        <v>0</v>
      </c>
      <c r="N12">
        <v>0</v>
      </c>
    </row>
    <row r="13" spans="1:24" x14ac:dyDescent="0.25">
      <c r="A13">
        <v>75776</v>
      </c>
      <c r="B13" s="4" t="s">
        <v>47</v>
      </c>
      <c r="C13" s="3">
        <f>IF(ISBLANK(B13),"",VLOOKUP(B13,Planilha4!$P$2:$Q$25,2,FALSE))</f>
        <v>6</v>
      </c>
      <c r="D13" t="s">
        <v>37</v>
      </c>
      <c r="E13">
        <v>88</v>
      </c>
      <c r="F13">
        <v>88</v>
      </c>
      <c r="G13">
        <v>88</v>
      </c>
      <c r="H13">
        <v>88</v>
      </c>
      <c r="I13">
        <v>88</v>
      </c>
      <c r="J13">
        <v>88</v>
      </c>
      <c r="K13">
        <v>88</v>
      </c>
      <c r="L13">
        <v>88</v>
      </c>
      <c r="M13">
        <v>0</v>
      </c>
      <c r="N13">
        <v>0</v>
      </c>
    </row>
    <row r="14" spans="1:24" x14ac:dyDescent="0.25">
      <c r="A14">
        <v>76612</v>
      </c>
      <c r="B14" s="4" t="s">
        <v>46</v>
      </c>
      <c r="C14" s="3">
        <f>IF(ISBLANK(B14),"",VLOOKUP(B14,Planilha4!$P$2:$Q$25,2,FALSE))</f>
        <v>5</v>
      </c>
      <c r="D14" t="s">
        <v>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24" x14ac:dyDescent="0.25">
      <c r="A15">
        <v>76612</v>
      </c>
      <c r="B15" s="4" t="s">
        <v>47</v>
      </c>
      <c r="C15" s="3">
        <f>IF(ISBLANK(B15),"",VLOOKUP(B15,Planilha4!$P$2:$Q$25,2,FALSE))</f>
        <v>6</v>
      </c>
      <c r="D15" t="s">
        <v>33</v>
      </c>
      <c r="E15">
        <v>176</v>
      </c>
      <c r="F15">
        <v>176</v>
      </c>
      <c r="G15">
        <v>176</v>
      </c>
      <c r="H15">
        <v>176</v>
      </c>
      <c r="I15">
        <v>176</v>
      </c>
      <c r="J15">
        <v>176</v>
      </c>
      <c r="K15">
        <v>176</v>
      </c>
      <c r="L15">
        <v>176</v>
      </c>
      <c r="M15">
        <v>0</v>
      </c>
      <c r="N15">
        <v>0</v>
      </c>
    </row>
    <row r="16" spans="1:24" x14ac:dyDescent="0.25">
      <c r="A16">
        <v>69416</v>
      </c>
      <c r="B16" s="4" t="s">
        <v>47</v>
      </c>
      <c r="C16" s="3">
        <f>IF(ISBLANK(B16),"",VLOOKUP(B16,Planilha4!$P$2:$Q$25,2,FALSE))</f>
        <v>6</v>
      </c>
      <c r="D16" t="s">
        <v>38</v>
      </c>
      <c r="E16">
        <v>22</v>
      </c>
      <c r="F16">
        <v>22</v>
      </c>
      <c r="G16">
        <v>22</v>
      </c>
      <c r="H16">
        <v>22</v>
      </c>
      <c r="I16">
        <v>22</v>
      </c>
      <c r="J16">
        <v>22</v>
      </c>
      <c r="K16">
        <v>22</v>
      </c>
      <c r="L16">
        <v>22</v>
      </c>
      <c r="M16">
        <v>0</v>
      </c>
      <c r="N16">
        <v>0</v>
      </c>
    </row>
    <row r="17" spans="1:14" x14ac:dyDescent="0.25">
      <c r="A17">
        <v>76229</v>
      </c>
      <c r="B17" s="4" t="s">
        <v>46</v>
      </c>
      <c r="C17" s="3">
        <f>IF(ISBLANK(B17),"",VLOOKUP(B17,Planilha4!$P$2:$Q$25,2,FALSE))</f>
        <v>5</v>
      </c>
      <c r="D17" t="s">
        <v>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76229</v>
      </c>
      <c r="B18" s="4" t="s">
        <v>47</v>
      </c>
      <c r="C18" s="3">
        <f>IF(ISBLANK(B18),"",VLOOKUP(B18,Planilha4!$P$2:$Q$25,2,FALSE))</f>
        <v>6</v>
      </c>
      <c r="D18" t="s">
        <v>44</v>
      </c>
      <c r="E18">
        <v>176</v>
      </c>
      <c r="F18">
        <v>176</v>
      </c>
      <c r="G18">
        <v>176</v>
      </c>
      <c r="H18">
        <v>176</v>
      </c>
      <c r="I18">
        <v>176</v>
      </c>
      <c r="J18">
        <v>176</v>
      </c>
      <c r="K18">
        <v>176</v>
      </c>
      <c r="L18">
        <v>176</v>
      </c>
      <c r="M18">
        <v>0</v>
      </c>
      <c r="N18">
        <v>0</v>
      </c>
    </row>
    <row r="19" spans="1:14" x14ac:dyDescent="0.25">
      <c r="A19">
        <v>75251</v>
      </c>
      <c r="B19" s="4" t="s">
        <v>46</v>
      </c>
      <c r="C19" s="3">
        <f>IF(ISBLANK(B19),"",VLOOKUP(B19,Planilha4!$P$2:$Q$25,2,FALSE))</f>
        <v>5</v>
      </c>
      <c r="D19" t="s">
        <v>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36594</v>
      </c>
      <c r="B20" s="4" t="s">
        <v>46</v>
      </c>
      <c r="C20" s="3">
        <f>IF(ISBLANK(B20),"",VLOOKUP(B20,Planilha4!$P$2:$Q$25,2,FALSE))</f>
        <v>5</v>
      </c>
      <c r="D20" t="s">
        <v>41</v>
      </c>
      <c r="E20">
        <v>176</v>
      </c>
      <c r="F20">
        <v>176</v>
      </c>
      <c r="G20">
        <v>176</v>
      </c>
      <c r="H20">
        <v>176</v>
      </c>
      <c r="I20">
        <v>176</v>
      </c>
      <c r="J20">
        <v>176</v>
      </c>
      <c r="K20">
        <v>176</v>
      </c>
      <c r="L20">
        <v>176</v>
      </c>
      <c r="M20">
        <v>0</v>
      </c>
      <c r="N20">
        <v>0</v>
      </c>
    </row>
    <row r="21" spans="1:14" x14ac:dyDescent="0.25">
      <c r="A21">
        <v>36859</v>
      </c>
      <c r="B21" s="4" t="s">
        <v>46</v>
      </c>
      <c r="C21" s="3">
        <f>IF(ISBLANK(B21),"",VLOOKUP(B21,Planilha4!$P$2:$Q$25,2,FALSE))</f>
        <v>5</v>
      </c>
      <c r="D21" t="s">
        <v>124</v>
      </c>
      <c r="E21">
        <v>176</v>
      </c>
      <c r="F21">
        <v>176</v>
      </c>
      <c r="G21">
        <v>176</v>
      </c>
      <c r="H21">
        <v>176</v>
      </c>
      <c r="I21">
        <v>176</v>
      </c>
      <c r="J21">
        <v>176</v>
      </c>
      <c r="K21">
        <v>176</v>
      </c>
      <c r="L21">
        <v>176</v>
      </c>
      <c r="M21">
        <v>0</v>
      </c>
      <c r="N21">
        <v>0</v>
      </c>
    </row>
    <row r="22" spans="1:14" x14ac:dyDescent="0.25">
      <c r="A22">
        <v>36925</v>
      </c>
      <c r="B22" s="4" t="s">
        <v>46</v>
      </c>
      <c r="C22" s="3">
        <f>IF(ISBLANK(B22),"",VLOOKUP(B22,Planilha4!$P$2:$Q$25,2,FALSE))</f>
        <v>5</v>
      </c>
      <c r="D22" t="s">
        <v>125</v>
      </c>
    </row>
    <row r="23" spans="1:14" x14ac:dyDescent="0.25">
      <c r="C23" s="3" t="str">
        <f>IF(ISBLANK(B23),"",VLOOKUP(B23,Planilha4!$P$2:$Q$25,2,FALSE))</f>
        <v/>
      </c>
    </row>
    <row r="24" spans="1:14" x14ac:dyDescent="0.25">
      <c r="C24" s="3" t="str">
        <f>IF(ISBLANK(B24),"",VLOOKUP(B24,Planilha4!$P$2:$Q$25,2,FALSE))</f>
        <v/>
      </c>
    </row>
    <row r="25" spans="1:14" x14ac:dyDescent="0.25">
      <c r="C25" s="3" t="str">
        <f>IF(ISBLANK(B25),"",VLOOKUP(B25,Planilha4!$P$2:$Q$25,2,FALSE))</f>
        <v/>
      </c>
    </row>
    <row r="26" spans="1:14" x14ac:dyDescent="0.25">
      <c r="C26" s="3" t="str">
        <f>IF(ISBLANK(B26),"",VLOOKUP(B26,Planilha4!$P$2:$Q$25,2,FALSE))</f>
        <v/>
      </c>
    </row>
    <row r="27" spans="1:14" x14ac:dyDescent="0.25">
      <c r="C27" s="3" t="str">
        <f>IF(ISBLANK(B27),"",VLOOKUP(B27,Planilha4!$P$2:$Q$25,2,FALSE))</f>
        <v/>
      </c>
    </row>
    <row r="28" spans="1:14" x14ac:dyDescent="0.25">
      <c r="C28" s="3" t="str">
        <f>IF(ISBLANK(B28),"",VLOOKUP(B28,Planilha4!$P$2:$Q$25,2,FALSE))</f>
        <v/>
      </c>
    </row>
    <row r="29" spans="1:14" x14ac:dyDescent="0.25">
      <c r="C29" s="3" t="str">
        <f>IF(ISBLANK(B29),"",VLOOKUP(B29,Planilha4!$P$2:$Q$25,2,FALSE))</f>
        <v/>
      </c>
    </row>
    <row r="30" spans="1:14" x14ac:dyDescent="0.25">
      <c r="C30" s="3" t="str">
        <f>IF(ISBLANK(B30),"",VLOOKUP(B30,Planilha4!$P$2:$Q$25,2,FALSE))</f>
        <v/>
      </c>
    </row>
    <row r="31" spans="1:14" x14ac:dyDescent="0.25">
      <c r="C31" s="3" t="str">
        <f>IF(ISBLANK(B31),"",VLOOKUP(B31,Planilha4!$P$2:$Q$25,2,FALSE))</f>
        <v/>
      </c>
    </row>
    <row r="32" spans="1:14" x14ac:dyDescent="0.25">
      <c r="C32" s="3" t="str">
        <f>IF(ISBLANK(B32),"",VLOOKUP(B32,Planilha4!$P$2:$Q$25,2,FALSE))</f>
        <v/>
      </c>
    </row>
    <row r="33" spans="3:3" x14ac:dyDescent="0.25">
      <c r="C33" s="3" t="str">
        <f>IF(ISBLANK(B33),"",VLOOKUP(B33,Planilha4!$P$2:$Q$25,2,FALSE))</f>
        <v/>
      </c>
    </row>
    <row r="34" spans="3:3" x14ac:dyDescent="0.25">
      <c r="C34" s="3" t="str">
        <f>IF(ISBLANK(B34),"",VLOOKUP(B34,Planilha4!$P$2:$Q$25,2,FALSE))</f>
        <v/>
      </c>
    </row>
    <row r="35" spans="3:3" x14ac:dyDescent="0.25">
      <c r="C35" s="3" t="str">
        <f>IF(ISBLANK(B35),"",VLOOKUP(B35,Planilha4!$P$2:$Q$25,2,FALSE))</f>
        <v/>
      </c>
    </row>
    <row r="36" spans="3:3" x14ac:dyDescent="0.25">
      <c r="C36" s="3" t="str">
        <f>IF(ISBLANK(B36),"",VLOOKUP(B36,Planilha4!$P$2:$Q$25,2,FALSE))</f>
        <v/>
      </c>
    </row>
    <row r="37" spans="3:3" x14ac:dyDescent="0.25">
      <c r="C37" s="3" t="str">
        <f>IF(ISBLANK(B37),"",VLOOKUP(B37,Planilha4!$P$2:$Q$25,2,FALSE))</f>
        <v/>
      </c>
    </row>
    <row r="38" spans="3:3" x14ac:dyDescent="0.25">
      <c r="C38" s="3" t="str">
        <f>IF(ISBLANK(B38),"",VLOOKUP(B38,Planilha4!$P$2:$Q$25,2,FALSE))</f>
        <v/>
      </c>
    </row>
    <row r="39" spans="3:3" x14ac:dyDescent="0.25">
      <c r="C39" s="3" t="str">
        <f>IF(ISBLANK(B39),"",VLOOKUP(B39,Planilha4!$P$2:$Q$25,2,FALSE))</f>
        <v/>
      </c>
    </row>
    <row r="40" spans="3:3" x14ac:dyDescent="0.25">
      <c r="C40" s="3" t="str">
        <f>IF(ISBLANK(B40),"",VLOOKUP(B40,Planilha4!$P$2:$Q$25,2,FALSE))</f>
        <v/>
      </c>
    </row>
    <row r="41" spans="3:3" x14ac:dyDescent="0.25">
      <c r="C41" s="3" t="str">
        <f>IF(ISBLANK(B41),"",VLOOKUP(B41,Planilha4!$P$2:$Q$25,2,FALSE))</f>
        <v/>
      </c>
    </row>
    <row r="42" spans="3:3" x14ac:dyDescent="0.25">
      <c r="C42" s="3" t="str">
        <f>IF(ISBLANK(B42),"",VLOOKUP(B42,Planilha4!$P$2:$Q$25,2,FALSE))</f>
        <v/>
      </c>
    </row>
    <row r="43" spans="3:3" x14ac:dyDescent="0.25">
      <c r="C43" s="3" t="str">
        <f>IF(ISBLANK(B43),"",VLOOKUP(B43,Planilha4!$P$2:$Q$25,2,FALSE))</f>
        <v/>
      </c>
    </row>
    <row r="44" spans="3:3" x14ac:dyDescent="0.25">
      <c r="C44" s="3" t="str">
        <f>IF(ISBLANK(B44),"",VLOOKUP(B44,Planilha4!$P$2:$Q$25,2,FALSE))</f>
        <v/>
      </c>
    </row>
    <row r="45" spans="3:3" x14ac:dyDescent="0.25">
      <c r="C45" s="3" t="str">
        <f>IF(ISBLANK(B45),"",VLOOKUP(B45,Planilha4!$P$2:$Q$25,2,FALSE))</f>
        <v/>
      </c>
    </row>
    <row r="46" spans="3:3" x14ac:dyDescent="0.25">
      <c r="C46" s="3" t="str">
        <f>IF(ISBLANK(B46),"",VLOOKUP(B46,Planilha4!$P$2:$Q$25,2,FALSE))</f>
        <v/>
      </c>
    </row>
    <row r="47" spans="3:3" x14ac:dyDescent="0.25">
      <c r="C47" s="3" t="str">
        <f>IF(ISBLANK(B47),"",VLOOKUP(B47,Planilha4!$P$2:$Q$25,2,FALSE))</f>
        <v/>
      </c>
    </row>
    <row r="48" spans="3:3" x14ac:dyDescent="0.25">
      <c r="C48" s="3" t="str">
        <f>IF(ISBLANK(B48),"",VLOOKUP(B48,Planilha4!$P$2:$Q$25,2,FALSE))</f>
        <v/>
      </c>
    </row>
    <row r="49" spans="3:3" x14ac:dyDescent="0.25">
      <c r="C49" s="3" t="str">
        <f>IF(ISBLANK(B49),"",VLOOKUP(B49,Planilha4!$P$2:$Q$25,2,FALSE))</f>
        <v/>
      </c>
    </row>
    <row r="50" spans="3:3" x14ac:dyDescent="0.25">
      <c r="C50" s="3" t="str">
        <f>IF(ISBLANK(B50),"",VLOOKUP(B50,Planilha4!$P$2:$Q$25,2,FALSE))</f>
        <v/>
      </c>
    </row>
    <row r="51" spans="3:3" x14ac:dyDescent="0.25">
      <c r="C51" s="3" t="str">
        <f>IF(ISBLANK(B51),"",VLOOKUP(B51,Planilha4!$P$2:$Q$25,2,FALSE))</f>
        <v/>
      </c>
    </row>
    <row r="52" spans="3:3" x14ac:dyDescent="0.25">
      <c r="C52" s="3" t="str">
        <f>IF(ISBLANK(B52),"",VLOOKUP(B52,Planilha4!$P$2:$Q$25,2,FALSE))</f>
        <v/>
      </c>
    </row>
    <row r="53" spans="3:3" x14ac:dyDescent="0.25">
      <c r="C53" s="3" t="str">
        <f>IF(ISBLANK(B53),"",VLOOKUP(B53,Planilha4!$P$2:$Q$25,2,FALSE))</f>
        <v/>
      </c>
    </row>
    <row r="54" spans="3:3" x14ac:dyDescent="0.25">
      <c r="C54" s="3" t="str">
        <f>IF(ISBLANK(B54),"",VLOOKUP(B54,Planilha4!$P$2:$Q$25,2,FALSE))</f>
        <v/>
      </c>
    </row>
    <row r="55" spans="3:3" x14ac:dyDescent="0.25">
      <c r="C55" s="3" t="str">
        <f>IF(ISBLANK(B55),"",VLOOKUP(B55,Planilha4!$P$2:$Q$25,2,FALSE))</f>
        <v/>
      </c>
    </row>
    <row r="56" spans="3:3" x14ac:dyDescent="0.25">
      <c r="C56" s="3" t="str">
        <f>IF(ISBLANK(B56),"",VLOOKUP(B56,Planilha4!$P$2:$Q$25,2,FALSE))</f>
        <v/>
      </c>
    </row>
    <row r="57" spans="3:3" x14ac:dyDescent="0.25">
      <c r="C57" s="3" t="str">
        <f>IF(ISBLANK(B57),"",VLOOKUP(B57,Planilha4!$P$2:$Q$25,2,FALSE))</f>
        <v/>
      </c>
    </row>
    <row r="58" spans="3:3" x14ac:dyDescent="0.25">
      <c r="C58" s="3" t="str">
        <f>IF(ISBLANK(B58),"",VLOOKUP(B58,Planilha4!$P$2:$Q$25,2,FALSE))</f>
        <v/>
      </c>
    </row>
    <row r="59" spans="3:3" x14ac:dyDescent="0.25">
      <c r="C59" s="3" t="str">
        <f>IF(ISBLANK(B59),"",VLOOKUP(B59,#REF!,2,FALSE))</f>
        <v/>
      </c>
    </row>
  </sheetData>
  <autoFilter ref="A1:N59" xr:uid="{00000000-0001-0000-0200-000000000000}">
    <sortState xmlns:xlrd2="http://schemas.microsoft.com/office/spreadsheetml/2017/richdata2" ref="A2:N59">
      <sortCondition ref="D1:D59"/>
    </sortState>
  </autoFilter>
  <dataValidations count="2">
    <dataValidation type="list" allowBlank="1" showInputMessage="1" showErrorMessage="1" sqref="B1 B23:B1048576" xr:uid="{00000000-0002-0000-0200-000000000000}">
      <formula1>#REF!</formula1>
    </dataValidation>
    <dataValidation type="list" allowBlank="1" showInputMessage="1" showErrorMessage="1" sqref="B2:B22" xr:uid="{00000000-0002-0000-0200-000001000000}"/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2327-1F93-4874-A395-CA32084CD761}">
  <dimension ref="A1:T30"/>
  <sheetViews>
    <sheetView topLeftCell="A13" workbookViewId="0">
      <selection activeCell="D2" sqref="D2:E30"/>
    </sheetView>
  </sheetViews>
  <sheetFormatPr defaultRowHeight="15" x14ac:dyDescent="0.25"/>
  <cols>
    <col min="1" max="1" width="15.42578125" bestFit="1" customWidth="1"/>
    <col min="4" max="4" width="30.85546875" bestFit="1" customWidth="1"/>
    <col min="7" max="7" width="22" bestFit="1" customWidth="1"/>
    <col min="16" max="16" width="13.5703125" bestFit="1" customWidth="1"/>
    <col min="19" max="19" width="16.7109375" bestFit="1" customWidth="1"/>
  </cols>
  <sheetData>
    <row r="1" spans="1:20" x14ac:dyDescent="0.25">
      <c r="A1" t="s">
        <v>49</v>
      </c>
      <c r="B1" t="s">
        <v>50</v>
      </c>
      <c r="D1" t="s">
        <v>51</v>
      </c>
      <c r="E1" t="s">
        <v>52</v>
      </c>
      <c r="G1" t="s">
        <v>53</v>
      </c>
      <c r="H1" t="s">
        <v>54</v>
      </c>
      <c r="K1" t="s">
        <v>17</v>
      </c>
      <c r="M1" t="s">
        <v>55</v>
      </c>
      <c r="P1" t="s">
        <v>56</v>
      </c>
      <c r="Q1" t="s">
        <v>31</v>
      </c>
      <c r="S1" t="s">
        <v>3</v>
      </c>
      <c r="T1" t="s">
        <v>4</v>
      </c>
    </row>
    <row r="2" spans="1:20" x14ac:dyDescent="0.25">
      <c r="A2" t="s">
        <v>57</v>
      </c>
      <c r="B2">
        <v>1</v>
      </c>
      <c r="D2" t="s">
        <v>58</v>
      </c>
      <c r="E2">
        <v>1</v>
      </c>
      <c r="G2" t="s">
        <v>59</v>
      </c>
      <c r="H2">
        <v>1</v>
      </c>
      <c r="K2" t="s">
        <v>60</v>
      </c>
      <c r="M2" t="s">
        <v>61</v>
      </c>
      <c r="P2" t="s">
        <v>62</v>
      </c>
      <c r="Q2">
        <v>1</v>
      </c>
      <c r="S2" t="s">
        <v>63</v>
      </c>
      <c r="T2">
        <v>1</v>
      </c>
    </row>
    <row r="3" spans="1:20" x14ac:dyDescent="0.25">
      <c r="A3" t="s">
        <v>64</v>
      </c>
      <c r="B3">
        <v>2</v>
      </c>
      <c r="D3" t="s">
        <v>65</v>
      </c>
      <c r="E3">
        <v>2</v>
      </c>
      <c r="G3" t="s">
        <v>66</v>
      </c>
      <c r="H3">
        <v>2</v>
      </c>
      <c r="K3" t="s">
        <v>67</v>
      </c>
      <c r="M3" t="s">
        <v>68</v>
      </c>
      <c r="P3" t="s">
        <v>69</v>
      </c>
      <c r="Q3">
        <v>2</v>
      </c>
      <c r="S3" t="s">
        <v>70</v>
      </c>
      <c r="T3">
        <v>2</v>
      </c>
    </row>
    <row r="4" spans="1:20" x14ac:dyDescent="0.25">
      <c r="A4" t="s">
        <v>71</v>
      </c>
      <c r="B4">
        <v>3</v>
      </c>
      <c r="D4" t="s">
        <v>72</v>
      </c>
      <c r="E4">
        <v>3</v>
      </c>
      <c r="G4" t="s">
        <v>73</v>
      </c>
      <c r="H4">
        <v>3</v>
      </c>
      <c r="M4" t="s">
        <v>74</v>
      </c>
      <c r="P4" t="s">
        <v>63</v>
      </c>
      <c r="Q4">
        <v>3</v>
      </c>
      <c r="S4" t="s">
        <v>75</v>
      </c>
      <c r="T4">
        <v>3</v>
      </c>
    </row>
    <row r="5" spans="1:20" x14ac:dyDescent="0.25">
      <c r="A5" t="s">
        <v>76</v>
      </c>
      <c r="B5">
        <v>4</v>
      </c>
      <c r="D5" t="s">
        <v>77</v>
      </c>
      <c r="E5">
        <v>4</v>
      </c>
      <c r="G5" t="s">
        <v>78</v>
      </c>
      <c r="H5">
        <v>4</v>
      </c>
      <c r="M5" t="s">
        <v>79</v>
      </c>
      <c r="P5" t="s">
        <v>80</v>
      </c>
      <c r="Q5">
        <v>4</v>
      </c>
      <c r="S5" t="s">
        <v>14</v>
      </c>
      <c r="T5">
        <v>4</v>
      </c>
    </row>
    <row r="6" spans="1:20" x14ac:dyDescent="0.25">
      <c r="A6" t="s">
        <v>81</v>
      </c>
      <c r="B6">
        <v>5</v>
      </c>
      <c r="D6" t="s">
        <v>82</v>
      </c>
      <c r="E6">
        <v>5</v>
      </c>
      <c r="G6" t="s">
        <v>83</v>
      </c>
      <c r="H6">
        <v>5</v>
      </c>
      <c r="M6" t="s">
        <v>84</v>
      </c>
      <c r="P6" t="s">
        <v>46</v>
      </c>
      <c r="Q6">
        <v>5</v>
      </c>
      <c r="S6" t="s">
        <v>85</v>
      </c>
      <c r="T6">
        <v>5</v>
      </c>
    </row>
    <row r="7" spans="1:20" x14ac:dyDescent="0.25">
      <c r="A7" t="s">
        <v>73</v>
      </c>
      <c r="B7">
        <v>6</v>
      </c>
      <c r="D7" t="s">
        <v>86</v>
      </c>
      <c r="E7">
        <v>6</v>
      </c>
      <c r="G7" t="s">
        <v>87</v>
      </c>
      <c r="H7">
        <v>6</v>
      </c>
      <c r="P7" t="s">
        <v>47</v>
      </c>
      <c r="Q7">
        <v>6</v>
      </c>
      <c r="S7" t="s">
        <v>88</v>
      </c>
      <c r="T7">
        <v>6</v>
      </c>
    </row>
    <row r="8" spans="1:20" x14ac:dyDescent="0.25">
      <c r="A8" t="s">
        <v>89</v>
      </c>
      <c r="B8">
        <v>7</v>
      </c>
      <c r="D8" t="s">
        <v>90</v>
      </c>
      <c r="E8">
        <v>7</v>
      </c>
      <c r="G8" t="s">
        <v>91</v>
      </c>
      <c r="H8">
        <v>7</v>
      </c>
    </row>
    <row r="9" spans="1:20" x14ac:dyDescent="0.25">
      <c r="A9" t="s">
        <v>92</v>
      </c>
      <c r="B9">
        <v>8</v>
      </c>
      <c r="D9" t="s">
        <v>93</v>
      </c>
      <c r="E9">
        <v>8</v>
      </c>
      <c r="G9" t="s">
        <v>94</v>
      </c>
      <c r="H9">
        <v>8</v>
      </c>
    </row>
    <row r="10" spans="1:20" x14ac:dyDescent="0.25">
      <c r="A10" t="s">
        <v>95</v>
      </c>
      <c r="B10">
        <v>9</v>
      </c>
      <c r="D10" t="s">
        <v>96</v>
      </c>
      <c r="E10">
        <v>9</v>
      </c>
      <c r="G10" t="s">
        <v>97</v>
      </c>
      <c r="H10">
        <v>9</v>
      </c>
    </row>
    <row r="11" spans="1:20" x14ac:dyDescent="0.25">
      <c r="A11" t="s">
        <v>98</v>
      </c>
      <c r="B11">
        <v>10</v>
      </c>
      <c r="D11" t="s">
        <v>99</v>
      </c>
      <c r="E11">
        <v>10</v>
      </c>
      <c r="G11" t="s">
        <v>100</v>
      </c>
      <c r="H11">
        <v>10</v>
      </c>
    </row>
    <row r="12" spans="1:20" x14ac:dyDescent="0.25">
      <c r="D12" t="s">
        <v>101</v>
      </c>
      <c r="E12">
        <v>11</v>
      </c>
      <c r="G12" t="s">
        <v>102</v>
      </c>
      <c r="H12">
        <v>11</v>
      </c>
    </row>
    <row r="13" spans="1:20" x14ac:dyDescent="0.25">
      <c r="D13" t="s">
        <v>103</v>
      </c>
      <c r="E13">
        <v>12</v>
      </c>
      <c r="G13" t="s">
        <v>89</v>
      </c>
      <c r="H13">
        <v>12</v>
      </c>
    </row>
    <row r="14" spans="1:20" x14ac:dyDescent="0.25">
      <c r="D14" t="s">
        <v>104</v>
      </c>
      <c r="E14">
        <v>13</v>
      </c>
      <c r="G14" t="s">
        <v>105</v>
      </c>
      <c r="H14">
        <v>13</v>
      </c>
    </row>
    <row r="15" spans="1:20" x14ac:dyDescent="0.25">
      <c r="D15" t="s">
        <v>81</v>
      </c>
      <c r="E15">
        <v>14</v>
      </c>
      <c r="G15" t="s">
        <v>106</v>
      </c>
      <c r="H15">
        <v>14</v>
      </c>
    </row>
    <row r="16" spans="1:20" x14ac:dyDescent="0.25">
      <c r="D16" t="s">
        <v>107</v>
      </c>
      <c r="E16">
        <v>15</v>
      </c>
      <c r="G16" t="s">
        <v>108</v>
      </c>
      <c r="H16">
        <v>15</v>
      </c>
    </row>
    <row r="17" spans="4:8" x14ac:dyDescent="0.25">
      <c r="D17" t="s">
        <v>89</v>
      </c>
      <c r="E17">
        <v>16</v>
      </c>
      <c r="G17" t="s">
        <v>109</v>
      </c>
      <c r="H17">
        <v>16</v>
      </c>
    </row>
    <row r="18" spans="4:8" x14ac:dyDescent="0.25">
      <c r="D18" t="s">
        <v>110</v>
      </c>
      <c r="E18">
        <v>17</v>
      </c>
    </row>
    <row r="19" spans="4:8" x14ac:dyDescent="0.25">
      <c r="D19" t="s">
        <v>111</v>
      </c>
      <c r="E19">
        <v>18</v>
      </c>
    </row>
    <row r="20" spans="4:8" x14ac:dyDescent="0.25">
      <c r="D20" t="s">
        <v>112</v>
      </c>
      <c r="E20">
        <v>19</v>
      </c>
    </row>
    <row r="21" spans="4:8" x14ac:dyDescent="0.25">
      <c r="D21" t="s">
        <v>113</v>
      </c>
      <c r="E21">
        <v>20</v>
      </c>
    </row>
    <row r="22" spans="4:8" x14ac:dyDescent="0.25">
      <c r="D22" t="s">
        <v>114</v>
      </c>
      <c r="E22">
        <v>21</v>
      </c>
    </row>
    <row r="23" spans="4:8" x14ac:dyDescent="0.25">
      <c r="D23" t="s">
        <v>115</v>
      </c>
      <c r="E23">
        <v>22</v>
      </c>
    </row>
    <row r="24" spans="4:8" x14ac:dyDescent="0.25">
      <c r="D24" t="s">
        <v>116</v>
      </c>
      <c r="E24">
        <v>23</v>
      </c>
    </row>
    <row r="25" spans="4:8" x14ac:dyDescent="0.25">
      <c r="D25" t="s">
        <v>117</v>
      </c>
      <c r="E25">
        <v>24</v>
      </c>
    </row>
    <row r="26" spans="4:8" x14ac:dyDescent="0.25">
      <c r="D26" t="s">
        <v>118</v>
      </c>
      <c r="E26">
        <v>25</v>
      </c>
    </row>
    <row r="27" spans="4:8" x14ac:dyDescent="0.25">
      <c r="D27" t="s">
        <v>119</v>
      </c>
      <c r="E27">
        <v>26</v>
      </c>
    </row>
    <row r="28" spans="4:8" x14ac:dyDescent="0.25">
      <c r="D28" t="s">
        <v>120</v>
      </c>
      <c r="E28">
        <v>27</v>
      </c>
    </row>
    <row r="29" spans="4:8" x14ac:dyDescent="0.25">
      <c r="D29" t="s">
        <v>121</v>
      </c>
      <c r="E29">
        <v>28</v>
      </c>
    </row>
    <row r="30" spans="4:8" x14ac:dyDescent="0.25">
      <c r="D30" t="s">
        <v>122</v>
      </c>
      <c r="E30">
        <v>29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54B9FF1E830C4B9B57F549209C9AD8" ma:contentTypeVersion="" ma:contentTypeDescription="Crie um novo documento." ma:contentTypeScope="" ma:versionID="a8b8da886911f13edf4a14ef1b585eaa">
  <xsd:schema xmlns:xsd="http://www.w3.org/2001/XMLSchema" xmlns:xs="http://www.w3.org/2001/XMLSchema" xmlns:p="http://schemas.microsoft.com/office/2006/metadata/properties" xmlns:ns2="6B560595-99F9-4AFF-BA6B-C1C201A0FF0D" xmlns:ns3="ce23b916-3340-46ab-bff7-a9b45947890d" xmlns:ns4="9c0330dc-c21e-49bd-bdec-fc793ee6553e" xmlns:ns5="6b560595-99f9-4aff-ba6b-c1c201a0ff0d" targetNamespace="http://schemas.microsoft.com/office/2006/metadata/properties" ma:root="true" ma:fieldsID="a5025139ecc24e1bd1b7a259c2e507f8" ns2:_="" ns3:_="" ns4:_="" ns5:_="">
    <xsd:import namespace="6B560595-99F9-4AFF-BA6B-C1C201A0FF0D"/>
    <xsd:import namespace="ce23b916-3340-46ab-bff7-a9b45947890d"/>
    <xsd:import namespace="9c0330dc-c21e-49bd-bdec-fc793ee6553e"/>
    <xsd:import namespace="6b560595-99f9-4aff-ba6b-c1c201a0ff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5:MediaServiceSearchProperties" minOccurs="0"/>
                <xsd:element ref="ns5:lcf76f155ced4ddcb4097134ff3c332f" minOccurs="0"/>
                <xsd:element ref="ns3:TaxCatchAll" minOccurs="0"/>
                <xsd:element ref="ns5:MediaServiceDateTaken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60595-99F9-4AFF-BA6B-C1C201A0FF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3b916-3340-46ab-bff7-a9b4594789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d18ece9-fd72-45e0-93a5-f5c09494fdaa}" ma:internalName="TaxCatchAll" ma:showField="CatchAllData" ma:web="ce23b916-3340-46ab-bff7-a9b459478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330dc-c21e-49bd-bdec-fc793ee6553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60595-99f9-4aff-ba6b-c1c201a0ff0d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049303-3fd3-41df-ab21-cd271ca8e6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23b916-3340-46ab-bff7-a9b45947890d" xsi:nil="true"/>
    <lcf76f155ced4ddcb4097134ff3c332f xmlns="6b560595-99f9-4aff-ba6b-c1c201a0ff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1F3B0B-ADDE-4573-97FD-91D6355D71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560595-99F9-4AFF-BA6B-C1C201A0FF0D"/>
    <ds:schemaRef ds:uri="ce23b916-3340-46ab-bff7-a9b45947890d"/>
    <ds:schemaRef ds:uri="9c0330dc-c21e-49bd-bdec-fc793ee6553e"/>
    <ds:schemaRef ds:uri="6b560595-99f9-4aff-ba6b-c1c201a0ff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6110A4-B198-4EA7-9D29-702EE62434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C92B35-3288-4871-AA49-E1EFCECA3650}">
  <ds:schemaRefs>
    <ds:schemaRef ds:uri="http://schemas.microsoft.com/office/2006/metadata/properties"/>
    <ds:schemaRef ds:uri="http://schemas.microsoft.com/office/infopath/2007/PartnerControls"/>
    <ds:schemaRef ds:uri="ce23b916-3340-46ab-bff7-a9b45947890d"/>
    <ds:schemaRef ds:uri="6b560595-99f9-4aff-ba6b-c1c201a0ff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dados_projeto</vt:lpstr>
      <vt:lpstr>Novos_Pesquisadores</vt:lpstr>
      <vt:lpstr>Alocacao</vt:lpstr>
      <vt:lpstr>Planilha4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Simão</dc:creator>
  <cp:keywords/>
  <dc:description/>
  <cp:lastModifiedBy>AUGUSTO MARASCA DE CONTO</cp:lastModifiedBy>
  <cp:revision/>
  <dcterms:created xsi:type="dcterms:W3CDTF">2022-06-11T16:36:19Z</dcterms:created>
  <dcterms:modified xsi:type="dcterms:W3CDTF">2026-05-18T21:01:03Z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0x010100B854B9FF1E830C4B9B57F549209C9AD8</vt:lpwstr>
  </property>
  <property fmtid="{D5CDD505-2E9C-101B-9397-08002B2CF9AE}" pid="3" name="MediaServiceImageTags">
    <vt:lpwstr/>
  </property>
</Properties>
</file>